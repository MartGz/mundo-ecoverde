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f82a319bfc55510/Documentos/"/>
    </mc:Choice>
  </mc:AlternateContent>
  <xr:revisionPtr revIDLastSave="502" documentId="13_ncr:1_{790B889D-E975-4885-BFDA-3781BBFF1E3C}" xr6:coauthVersionLast="47" xr6:coauthVersionMax="47" xr10:uidLastSave="{9051A58F-D50E-479B-8738-D24C3F579662}"/>
  <bookViews>
    <workbookView xWindow="-108" yWindow="-108" windowWidth="23256" windowHeight="13896" firstSheet="3" activeTab="4" xr2:uid="{F1A7B3D4-A799-4349-A5C3-DFA08E0D1EF4}"/>
  </bookViews>
  <sheets>
    <sheet name="EDGAR SEP2024" sheetId="3" r:id="rId1"/>
    <sheet name="EDGAR OCTUBRE" sheetId="4" r:id="rId2"/>
    <sheet name="JORGENOV" sheetId="6" r:id="rId3"/>
    <sheet name="EDGAR ENERO" sheetId="8" r:id="rId4"/>
    <sheet name="MARTHA MAYO" sheetId="7" r:id="rId5"/>
    <sheet name="OCTUBRE CR" sheetId="18" r:id="rId6"/>
    <sheet name="EDGAR JUNIO " sheetId="1" r:id="rId7"/>
    <sheet name="KATRINA-NOV" sheetId="19" r:id="rId8"/>
    <sheet name="CHECHO JULIO " sheetId="2" r:id="rId9"/>
    <sheet name="CARLOS JULIO " sheetId="5" r:id="rId10"/>
    <sheet name="CARTAGENA JULIO" sheetId="9" r:id="rId11"/>
    <sheet name="FEBRERO FRANTI" sheetId="10" r:id="rId12"/>
    <sheet name="DIC-ENE EDGAR3" sheetId="11" r:id="rId13"/>
    <sheet name="DIC-ENE EDGAR10" sheetId="12" r:id="rId14"/>
    <sheet name="DIC4-8" sheetId="13" r:id="rId15"/>
    <sheet name="MARZO17-22" sheetId="15" r:id="rId16"/>
    <sheet name="CARLOSDICIEMBRE" sheetId="14" r:id="rId17"/>
    <sheet name="Hoja1" sheetId="17" r:id="rId18"/>
    <sheet name="EDGARJULIO" sheetId="16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9" l="1"/>
  <c r="E6" i="19"/>
  <c r="E5" i="19"/>
  <c r="E23" i="19"/>
  <c r="E22" i="19"/>
  <c r="E21" i="19"/>
  <c r="E20" i="19"/>
  <c r="E19" i="19"/>
  <c r="E9" i="19"/>
  <c r="E8" i="19"/>
  <c r="E7" i="19"/>
  <c r="E11" i="19" l="1"/>
  <c r="E12" i="19" s="1"/>
  <c r="E13" i="19" s="1"/>
  <c r="E25" i="19"/>
  <c r="E24" i="19" s="1"/>
  <c r="E26" i="19" s="1"/>
  <c r="E27" i="19" s="1"/>
  <c r="E68" i="9"/>
  <c r="G59" i="9"/>
  <c r="J44" i="7"/>
  <c r="K47" i="7"/>
  <c r="J47" i="7"/>
  <c r="K31" i="7"/>
  <c r="K34" i="7" s="1"/>
  <c r="I37" i="7"/>
  <c r="J33" i="7"/>
  <c r="L34" i="7"/>
  <c r="K29" i="7"/>
  <c r="K30" i="7"/>
  <c r="L29" i="7"/>
  <c r="H50" i="7"/>
  <c r="I75" i="7"/>
  <c r="I74" i="7"/>
  <c r="I73" i="7"/>
  <c r="I77" i="7" s="1"/>
  <c r="D48" i="7"/>
  <c r="D44" i="7"/>
  <c r="D29" i="7"/>
  <c r="D45" i="7"/>
  <c r="J31" i="7"/>
  <c r="J30" i="7"/>
  <c r="J29" i="7"/>
  <c r="D114" i="7"/>
  <c r="D112" i="7"/>
  <c r="D119" i="7"/>
  <c r="D118" i="7"/>
  <c r="D117" i="7"/>
  <c r="D116" i="7"/>
  <c r="D89" i="18"/>
  <c r="D87" i="18"/>
  <c r="D75" i="18"/>
  <c r="D74" i="18"/>
  <c r="D80" i="18" s="1"/>
  <c r="E51" i="18"/>
  <c r="E55" i="18" s="1"/>
  <c r="E53" i="18"/>
  <c r="E52" i="18"/>
  <c r="E50" i="18"/>
  <c r="E49" i="18"/>
  <c r="E48" i="18"/>
  <c r="E47" i="18"/>
  <c r="D48" i="18"/>
  <c r="D47" i="18"/>
  <c r="D130" i="18"/>
  <c r="D131" i="18" s="1"/>
  <c r="D132" i="18" s="1"/>
  <c r="D129" i="18"/>
  <c r="D128" i="18"/>
  <c r="D127" i="18"/>
  <c r="D126" i="18"/>
  <c r="D125" i="18"/>
  <c r="D124" i="18"/>
  <c r="D115" i="18"/>
  <c r="D114" i="18"/>
  <c r="D117" i="18" s="1"/>
  <c r="D113" i="18"/>
  <c r="D112" i="18"/>
  <c r="D111" i="18"/>
  <c r="D104" i="18"/>
  <c r="D103" i="18" s="1"/>
  <c r="D102" i="18"/>
  <c r="D101" i="18"/>
  <c r="D100" i="18"/>
  <c r="D99" i="18"/>
  <c r="D98" i="18"/>
  <c r="D88" i="18"/>
  <c r="D91" i="18"/>
  <c r="D78" i="18"/>
  <c r="D77" i="18"/>
  <c r="D76" i="18"/>
  <c r="D67" i="18"/>
  <c r="D68" i="18" s="1"/>
  <c r="D69" i="18" s="1"/>
  <c r="D66" i="18"/>
  <c r="D65" i="18"/>
  <c r="D64" i="18"/>
  <c r="D63" i="18"/>
  <c r="D62" i="18"/>
  <c r="D61" i="18"/>
  <c r="D53" i="18"/>
  <c r="D52" i="18"/>
  <c r="D51" i="18"/>
  <c r="D50" i="18"/>
  <c r="D49" i="18"/>
  <c r="J8" i="18"/>
  <c r="D31" i="18"/>
  <c r="D21" i="18"/>
  <c r="D19" i="18"/>
  <c r="D5" i="18"/>
  <c r="D37" i="18"/>
  <c r="D36" i="18"/>
  <c r="D35" i="18"/>
  <c r="D34" i="18"/>
  <c r="D32" i="18"/>
  <c r="D20" i="18"/>
  <c r="D10" i="18"/>
  <c r="D9" i="18"/>
  <c r="D8" i="18"/>
  <c r="D6" i="18"/>
  <c r="J21" i="7"/>
  <c r="J20" i="7"/>
  <c r="J19" i="7"/>
  <c r="E115" i="17"/>
  <c r="E111" i="17"/>
  <c r="E110" i="17"/>
  <c r="E114" i="17"/>
  <c r="E113" i="17"/>
  <c r="E112" i="17"/>
  <c r="E116" i="17"/>
  <c r="E100" i="17"/>
  <c r="E98" i="17"/>
  <c r="E102" i="17"/>
  <c r="E101" i="17"/>
  <c r="E99" i="17"/>
  <c r="J59" i="17"/>
  <c r="J64" i="17"/>
  <c r="J63" i="17"/>
  <c r="J62" i="17"/>
  <c r="H61" i="17"/>
  <c r="J61" i="17" s="1"/>
  <c r="J58" i="17"/>
  <c r="E86" i="17"/>
  <c r="E85" i="17"/>
  <c r="E73" i="17"/>
  <c r="E78" i="17" s="1"/>
  <c r="E72" i="17"/>
  <c r="J73" i="17"/>
  <c r="J78" i="17" s="1"/>
  <c r="J77" i="17" s="1"/>
  <c r="J72" i="17"/>
  <c r="E62" i="17"/>
  <c r="E61" i="17"/>
  <c r="E59" i="17"/>
  <c r="E58" i="17"/>
  <c r="E45" i="17"/>
  <c r="E44" i="17"/>
  <c r="E22" i="17"/>
  <c r="E35" i="17"/>
  <c r="E34" i="17"/>
  <c r="E36" i="17" s="1"/>
  <c r="E32" i="17"/>
  <c r="E11" i="17"/>
  <c r="E21" i="17"/>
  <c r="E19" i="17"/>
  <c r="E23" i="17" s="1"/>
  <c r="E12" i="17"/>
  <c r="E6" i="17"/>
  <c r="E5" i="17"/>
  <c r="E89" i="17"/>
  <c r="E88" i="17"/>
  <c r="E87" i="17"/>
  <c r="E91" i="17"/>
  <c r="O78" i="17"/>
  <c r="O77" i="17" s="1"/>
  <c r="O76" i="17"/>
  <c r="J76" i="17"/>
  <c r="E76" i="17"/>
  <c r="O75" i="17"/>
  <c r="J75" i="17"/>
  <c r="E75" i="17"/>
  <c r="O74" i="17"/>
  <c r="J74" i="17"/>
  <c r="E74" i="17"/>
  <c r="O73" i="17"/>
  <c r="O72" i="17"/>
  <c r="E64" i="17"/>
  <c r="E63" i="17"/>
  <c r="C61" i="17"/>
  <c r="E50" i="17"/>
  <c r="E49" i="17"/>
  <c r="E48" i="17"/>
  <c r="E47" i="17"/>
  <c r="E46" i="17"/>
  <c r="E33" i="17"/>
  <c r="E20" i="17"/>
  <c r="E10" i="17"/>
  <c r="E9" i="17"/>
  <c r="E8" i="17"/>
  <c r="H10" i="1"/>
  <c r="K48" i="7" l="1"/>
  <c r="J34" i="7"/>
  <c r="L35" i="7" s="1"/>
  <c r="I76" i="7"/>
  <c r="I78" i="7" s="1"/>
  <c r="I79" i="7" s="1"/>
  <c r="D121" i="7"/>
  <c r="E54" i="18"/>
  <c r="E56" i="18"/>
  <c r="E57" i="18" s="1"/>
  <c r="D55" i="18"/>
  <c r="D54" i="18"/>
  <c r="D56" i="18" s="1"/>
  <c r="D57" i="18" s="1"/>
  <c r="D116" i="18"/>
  <c r="D118" i="18"/>
  <c r="D119" i="18" s="1"/>
  <c r="D79" i="18"/>
  <c r="D81" i="18" s="1"/>
  <c r="D82" i="18" s="1"/>
  <c r="D90" i="18"/>
  <c r="D92" i="18"/>
  <c r="D93" i="18" s="1"/>
  <c r="D105" i="18"/>
  <c r="D106" i="18" s="1"/>
  <c r="D23" i="18"/>
  <c r="D12" i="18"/>
  <c r="D11" i="18" s="1"/>
  <c r="D13" i="18" s="1"/>
  <c r="D14" i="18" s="1"/>
  <c r="D39" i="18"/>
  <c r="D38" i="18" s="1"/>
  <c r="D40" i="18" s="1"/>
  <c r="D41" i="18" s="1"/>
  <c r="D22" i="18"/>
  <c r="D24" i="18" s="1"/>
  <c r="D25" i="18" s="1"/>
  <c r="E117" i="17"/>
  <c r="E118" i="17" s="1"/>
  <c r="E104" i="17"/>
  <c r="E103" i="17"/>
  <c r="E105" i="17" s="1"/>
  <c r="E106" i="17" s="1"/>
  <c r="J66" i="17"/>
  <c r="J65" i="17"/>
  <c r="J67" i="17" s="1"/>
  <c r="J68" i="17" s="1"/>
  <c r="E66" i="17"/>
  <c r="E65" i="17" s="1"/>
  <c r="E52" i="17"/>
  <c r="E77" i="17"/>
  <c r="E79" i="17" s="1"/>
  <c r="E80" i="17" s="1"/>
  <c r="J79" i="17"/>
  <c r="J80" i="17" s="1"/>
  <c r="E24" i="17"/>
  <c r="E25" i="17" s="1"/>
  <c r="E13" i="17"/>
  <c r="E14" i="17" s="1"/>
  <c r="E90" i="17"/>
  <c r="E92" i="17" s="1"/>
  <c r="E93" i="17" s="1"/>
  <c r="E37" i="17"/>
  <c r="E38" i="17" s="1"/>
  <c r="O79" i="17"/>
  <c r="O80" i="17" s="1"/>
  <c r="D120" i="7" l="1"/>
  <c r="D122" i="7" s="1"/>
  <c r="D123" i="7" s="1"/>
  <c r="E67" i="17"/>
  <c r="E68" i="17" s="1"/>
  <c r="E51" i="17"/>
  <c r="E53" i="17" s="1"/>
  <c r="E54" i="17" s="1"/>
  <c r="K9" i="5"/>
  <c r="I12" i="1"/>
  <c r="H17" i="1"/>
  <c r="I31" i="1"/>
  <c r="I28" i="1"/>
  <c r="H29" i="1"/>
  <c r="I29" i="1"/>
  <c r="I30" i="1"/>
  <c r="E34" i="1"/>
  <c r="E33" i="1"/>
  <c r="E32" i="1"/>
  <c r="E31" i="1"/>
  <c r="E30" i="1"/>
  <c r="E18" i="1"/>
  <c r="E17" i="1"/>
  <c r="E16" i="1"/>
  <c r="E7" i="1"/>
  <c r="E6" i="1"/>
  <c r="E5" i="1"/>
  <c r="E4" i="1"/>
  <c r="E3" i="1"/>
  <c r="H23" i="1"/>
  <c r="H16" i="1"/>
  <c r="H19" i="1"/>
  <c r="H18" i="1"/>
  <c r="H20" i="1"/>
  <c r="H21" i="1"/>
  <c r="H22" i="1"/>
  <c r="E55" i="1"/>
  <c r="E59" i="1" s="1"/>
  <c r="E58" i="1"/>
  <c r="E57" i="1"/>
  <c r="E56" i="1"/>
  <c r="E20" i="1"/>
  <c r="E47" i="1"/>
  <c r="E46" i="1"/>
  <c r="E45" i="1"/>
  <c r="E44" i="1"/>
  <c r="E43" i="1"/>
  <c r="E36" i="1"/>
  <c r="E35" i="1"/>
  <c r="E19" i="1"/>
  <c r="E8" i="1"/>
  <c r="H11" i="1"/>
  <c r="I11" i="1" s="1"/>
  <c r="H11" i="8"/>
  <c r="H12" i="8"/>
  <c r="H16" i="8"/>
  <c r="H13" i="8"/>
  <c r="D4" i="8"/>
  <c r="E101" i="16"/>
  <c r="E100" i="16"/>
  <c r="E99" i="16"/>
  <c r="E98" i="16"/>
  <c r="E97" i="16"/>
  <c r="E103" i="16" s="1"/>
  <c r="E58" i="16"/>
  <c r="E47" i="16"/>
  <c r="E6" i="14"/>
  <c r="E8" i="16"/>
  <c r="E7" i="16"/>
  <c r="C47" i="16"/>
  <c r="E51" i="16" s="1"/>
  <c r="E22" i="16"/>
  <c r="E21" i="16"/>
  <c r="E90" i="16"/>
  <c r="E89" i="16" s="1"/>
  <c r="E91" i="16" s="1"/>
  <c r="E92" i="16" s="1"/>
  <c r="E88" i="16"/>
  <c r="E87" i="16"/>
  <c r="E86" i="16"/>
  <c r="E85" i="16"/>
  <c r="E84" i="16"/>
  <c r="E77" i="16"/>
  <c r="E76" i="16" s="1"/>
  <c r="E75" i="16"/>
  <c r="E74" i="16"/>
  <c r="E73" i="16"/>
  <c r="E72" i="16"/>
  <c r="E71" i="16"/>
  <c r="E64" i="16"/>
  <c r="E63" i="16" s="1"/>
  <c r="E65" i="16" s="1"/>
  <c r="E66" i="16" s="1"/>
  <c r="E62" i="16"/>
  <c r="E61" i="16"/>
  <c r="E60" i="16"/>
  <c r="E59" i="16"/>
  <c r="K58" i="16"/>
  <c r="E49" i="16"/>
  <c r="E48" i="16"/>
  <c r="E38" i="16"/>
  <c r="E37" i="16"/>
  <c r="E40" i="16" s="1"/>
  <c r="G36" i="16"/>
  <c r="E36" i="16"/>
  <c r="E35" i="16"/>
  <c r="G34" i="16"/>
  <c r="G35" i="16" s="1"/>
  <c r="G37" i="16" s="1"/>
  <c r="E34" i="16"/>
  <c r="E25" i="16"/>
  <c r="E24" i="16"/>
  <c r="E23" i="16"/>
  <c r="E27" i="16"/>
  <c r="E13" i="16"/>
  <c r="E12" i="16"/>
  <c r="E11" i="16"/>
  <c r="E10" i="16"/>
  <c r="E9" i="16"/>
  <c r="E15" i="16"/>
  <c r="E99" i="9"/>
  <c r="I13" i="9"/>
  <c r="E107" i="9"/>
  <c r="E28" i="9"/>
  <c r="E29" i="9"/>
  <c r="E26" i="9"/>
  <c r="E25" i="9"/>
  <c r="E24" i="9"/>
  <c r="E23" i="9"/>
  <c r="E22" i="9"/>
  <c r="E21" i="9"/>
  <c r="E20" i="9"/>
  <c r="E30" i="9"/>
  <c r="E100" i="9"/>
  <c r="E105" i="9"/>
  <c r="E104" i="9"/>
  <c r="E103" i="9"/>
  <c r="E102" i="9"/>
  <c r="E101" i="9"/>
  <c r="E15" i="14"/>
  <c r="E14" i="14"/>
  <c r="E16" i="14"/>
  <c r="E41" i="14"/>
  <c r="E52" i="14"/>
  <c r="C46" i="14"/>
  <c r="E65" i="14"/>
  <c r="E78" i="14"/>
  <c r="E91" i="14"/>
  <c r="E90" i="14"/>
  <c r="E58" i="14"/>
  <c r="E57" i="14"/>
  <c r="E87" i="14"/>
  <c r="E86" i="14"/>
  <c r="E85" i="14"/>
  <c r="E84" i="14"/>
  <c r="E83" i="14"/>
  <c r="E89" i="14" s="1"/>
  <c r="E74" i="14"/>
  <c r="E73" i="14"/>
  <c r="E72" i="14"/>
  <c r="E71" i="14"/>
  <c r="E70" i="14"/>
  <c r="K57" i="14"/>
  <c r="E46" i="14"/>
  <c r="E33" i="14"/>
  <c r="E21" i="14"/>
  <c r="E20" i="14"/>
  <c r="E7" i="14"/>
  <c r="E61" i="14"/>
  <c r="E60" i="14"/>
  <c r="E59" i="14"/>
  <c r="E48" i="14"/>
  <c r="E47" i="14"/>
  <c r="E37" i="14"/>
  <c r="E36" i="14"/>
  <c r="G35" i="14"/>
  <c r="E35" i="14"/>
  <c r="E34" i="14"/>
  <c r="G33" i="14"/>
  <c r="G34" i="14" s="1"/>
  <c r="G36" i="14" s="1"/>
  <c r="E39" i="14"/>
  <c r="E24" i="14"/>
  <c r="E23" i="14"/>
  <c r="E22" i="14"/>
  <c r="E12" i="14"/>
  <c r="E11" i="14"/>
  <c r="E10" i="14"/>
  <c r="E9" i="14"/>
  <c r="E8" i="14"/>
  <c r="M38" i="13"/>
  <c r="M37" i="13"/>
  <c r="M36" i="13"/>
  <c r="M35" i="13"/>
  <c r="R24" i="13"/>
  <c r="R21" i="13"/>
  <c r="R22" i="13"/>
  <c r="R23" i="13"/>
  <c r="N64" i="13"/>
  <c r="N63" i="13"/>
  <c r="M63" i="13"/>
  <c r="M59" i="13"/>
  <c r="M61" i="13"/>
  <c r="K8" i="15"/>
  <c r="J14" i="15"/>
  <c r="K10" i="15"/>
  <c r="K9" i="15"/>
  <c r="K7" i="15"/>
  <c r="H11" i="15"/>
  <c r="D63" i="15"/>
  <c r="D90" i="15"/>
  <c r="D66" i="2"/>
  <c r="D76" i="15"/>
  <c r="D86" i="15"/>
  <c r="D12" i="15"/>
  <c r="D23" i="15"/>
  <c r="D39" i="15"/>
  <c r="D50" i="15"/>
  <c r="D25" i="15"/>
  <c r="D52" i="15"/>
  <c r="C58" i="15"/>
  <c r="C46" i="15"/>
  <c r="D58" i="15"/>
  <c r="D60" i="15"/>
  <c r="D71" i="15"/>
  <c r="E58" i="15"/>
  <c r="E63" i="15" s="1"/>
  <c r="E62" i="15" s="1"/>
  <c r="D88" i="15"/>
  <c r="D87" i="15"/>
  <c r="D85" i="15"/>
  <c r="D84" i="15"/>
  <c r="D83" i="15"/>
  <c r="D46" i="15"/>
  <c r="D49" i="15" s="1"/>
  <c r="C33" i="15"/>
  <c r="D33" i="15" s="1"/>
  <c r="D6" i="15"/>
  <c r="D70" i="15"/>
  <c r="D74" i="15"/>
  <c r="D73" i="15"/>
  <c r="D72" i="15"/>
  <c r="E61" i="15"/>
  <c r="D61" i="15"/>
  <c r="E60" i="15"/>
  <c r="E59" i="15"/>
  <c r="D59" i="15"/>
  <c r="D48" i="15"/>
  <c r="D47" i="15"/>
  <c r="D37" i="15"/>
  <c r="D36" i="15"/>
  <c r="D35" i="15"/>
  <c r="D34" i="15"/>
  <c r="D21" i="15"/>
  <c r="D20" i="15"/>
  <c r="D19" i="15"/>
  <c r="D22" i="15" s="1"/>
  <c r="D24" i="15" s="1"/>
  <c r="D10" i="15"/>
  <c r="D9" i="15"/>
  <c r="D8" i="15"/>
  <c r="D7" i="15"/>
  <c r="E35" i="11"/>
  <c r="G21" i="11"/>
  <c r="G20" i="11"/>
  <c r="G19" i="11"/>
  <c r="F23" i="11"/>
  <c r="E24" i="11"/>
  <c r="E22" i="11"/>
  <c r="G18" i="11"/>
  <c r="L35" i="11"/>
  <c r="M34" i="11"/>
  <c r="M33" i="11"/>
  <c r="M32" i="11"/>
  <c r="M31" i="11"/>
  <c r="M29" i="11"/>
  <c r="M28" i="11"/>
  <c r="M27" i="11"/>
  <c r="M26" i="11"/>
  <c r="M25" i="11"/>
  <c r="M12" i="11"/>
  <c r="M13" i="11"/>
  <c r="M14" i="11"/>
  <c r="M15" i="11"/>
  <c r="M17" i="11"/>
  <c r="M18" i="11"/>
  <c r="M19" i="11"/>
  <c r="M20" i="11"/>
  <c r="M11" i="11"/>
  <c r="E36" i="13"/>
  <c r="E35" i="13"/>
  <c r="E22" i="13"/>
  <c r="K22" i="13"/>
  <c r="K60" i="13"/>
  <c r="K59" i="13"/>
  <c r="E59" i="13"/>
  <c r="K50" i="13"/>
  <c r="K48" i="13"/>
  <c r="E50" i="13"/>
  <c r="E52" i="13" s="1"/>
  <c r="E48" i="13"/>
  <c r="K63" i="13"/>
  <c r="K62" i="13"/>
  <c r="K61" i="13"/>
  <c r="E63" i="13"/>
  <c r="E62" i="13"/>
  <c r="E61" i="13"/>
  <c r="E60" i="13"/>
  <c r="K49" i="13"/>
  <c r="K52" i="13"/>
  <c r="E49" i="13"/>
  <c r="K35" i="13"/>
  <c r="K38" i="13"/>
  <c r="K36" i="13"/>
  <c r="K23" i="13"/>
  <c r="K10" i="13"/>
  <c r="E9" i="13"/>
  <c r="K9" i="13"/>
  <c r="K8" i="13"/>
  <c r="E8" i="13"/>
  <c r="K39" i="13"/>
  <c r="K37" i="13"/>
  <c r="K26" i="13"/>
  <c r="K25" i="13"/>
  <c r="K24" i="13"/>
  <c r="K14" i="13"/>
  <c r="K13" i="13"/>
  <c r="K12" i="13"/>
  <c r="K11" i="13"/>
  <c r="E39" i="13"/>
  <c r="E38" i="13"/>
  <c r="E37" i="13"/>
  <c r="E26" i="13"/>
  <c r="E25" i="13"/>
  <c r="E24" i="13"/>
  <c r="E23" i="13"/>
  <c r="E28" i="13"/>
  <c r="E27" i="13" s="1"/>
  <c r="E14" i="13"/>
  <c r="E13" i="13"/>
  <c r="E12" i="13"/>
  <c r="E11" i="13"/>
  <c r="E10" i="13"/>
  <c r="E82" i="12"/>
  <c r="E77" i="12"/>
  <c r="E76" i="12"/>
  <c r="E80" i="12"/>
  <c r="E79" i="12"/>
  <c r="E78" i="12"/>
  <c r="E62" i="12"/>
  <c r="E36" i="12"/>
  <c r="E35" i="12"/>
  <c r="E23" i="12"/>
  <c r="E22" i="12"/>
  <c r="E21" i="12"/>
  <c r="E10" i="12"/>
  <c r="E8" i="12"/>
  <c r="E66" i="12"/>
  <c r="E65" i="12"/>
  <c r="E64" i="12"/>
  <c r="E68" i="12" s="1"/>
  <c r="E63" i="12"/>
  <c r="E52" i="12"/>
  <c r="E51" i="12"/>
  <c r="E50" i="12"/>
  <c r="E49" i="12"/>
  <c r="E48" i="12"/>
  <c r="E54" i="12" s="1"/>
  <c r="E53" i="12" s="1"/>
  <c r="E39" i="12"/>
  <c r="E38" i="12"/>
  <c r="E37" i="12"/>
  <c r="E27" i="12"/>
  <c r="E26" i="12"/>
  <c r="E25" i="12"/>
  <c r="E24" i="12"/>
  <c r="E9" i="12"/>
  <c r="E21" i="11"/>
  <c r="L21" i="11"/>
  <c r="E129" i="11"/>
  <c r="F127" i="11"/>
  <c r="F126" i="11"/>
  <c r="F114" i="11"/>
  <c r="F98" i="11"/>
  <c r="F87" i="11"/>
  <c r="E110" i="11"/>
  <c r="E109" i="11"/>
  <c r="E97" i="11"/>
  <c r="E122" i="11"/>
  <c r="E127" i="11" s="1"/>
  <c r="E123" i="11"/>
  <c r="E125" i="11"/>
  <c r="E95" i="11"/>
  <c r="E83" i="11"/>
  <c r="E82" i="11"/>
  <c r="E70" i="11"/>
  <c r="C68" i="11"/>
  <c r="E68" i="11" s="1"/>
  <c r="E58" i="11"/>
  <c r="E56" i="11"/>
  <c r="E60" i="11" s="1"/>
  <c r="E43" i="11"/>
  <c r="E31" i="11"/>
  <c r="E29" i="11"/>
  <c r="E17" i="11"/>
  <c r="E16" i="11"/>
  <c r="E124" i="11"/>
  <c r="E113" i="11"/>
  <c r="E112" i="11"/>
  <c r="E111" i="11"/>
  <c r="E96" i="11"/>
  <c r="E86" i="11"/>
  <c r="E85" i="11"/>
  <c r="E84" i="11"/>
  <c r="E69" i="11"/>
  <c r="E57" i="11"/>
  <c r="E47" i="11"/>
  <c r="E46" i="11"/>
  <c r="E45" i="11"/>
  <c r="E44" i="11"/>
  <c r="E30" i="11"/>
  <c r="E20" i="11"/>
  <c r="E19" i="11"/>
  <c r="E18" i="11"/>
  <c r="E189" i="10"/>
  <c r="E186" i="10"/>
  <c r="E185" i="10"/>
  <c r="E191" i="10" s="1"/>
  <c r="E176" i="10"/>
  <c r="E175" i="10"/>
  <c r="E174" i="10"/>
  <c r="E172" i="10"/>
  <c r="E171" i="10"/>
  <c r="E161" i="10"/>
  <c r="E160" i="10"/>
  <c r="E159" i="10"/>
  <c r="E158" i="10"/>
  <c r="E163" i="10" s="1"/>
  <c r="E157" i="10"/>
  <c r="E147" i="10"/>
  <c r="E146" i="10"/>
  <c r="E145" i="10"/>
  <c r="E144" i="10"/>
  <c r="E143" i="10"/>
  <c r="E149" i="10" s="1"/>
  <c r="E134" i="10"/>
  <c r="E133" i="10"/>
  <c r="E132" i="10"/>
  <c r="E131" i="10"/>
  <c r="E130" i="10"/>
  <c r="E136" i="10" s="1"/>
  <c r="E122" i="10"/>
  <c r="E124" i="10" s="1"/>
  <c r="E121" i="10"/>
  <c r="E120" i="10"/>
  <c r="E119" i="10"/>
  <c r="E118" i="10"/>
  <c r="E117" i="10"/>
  <c r="E116" i="10"/>
  <c r="I111" i="10"/>
  <c r="E105" i="10"/>
  <c r="E104" i="10"/>
  <c r="C103" i="10"/>
  <c r="E103" i="10" s="1"/>
  <c r="E107" i="10" s="1"/>
  <c r="F2" i="10"/>
  <c r="I15" i="10"/>
  <c r="E93" i="10"/>
  <c r="E90" i="10"/>
  <c r="E89" i="10"/>
  <c r="E80" i="10"/>
  <c r="E79" i="10"/>
  <c r="E78" i="10"/>
  <c r="E76" i="10"/>
  <c r="E75" i="10"/>
  <c r="E65" i="10"/>
  <c r="E64" i="10"/>
  <c r="E63" i="10"/>
  <c r="E62" i="10"/>
  <c r="E61" i="10"/>
  <c r="E51" i="10"/>
  <c r="E50" i="10"/>
  <c r="E49" i="10"/>
  <c r="E48" i="10"/>
  <c r="E47" i="10"/>
  <c r="E38" i="10"/>
  <c r="E37" i="10"/>
  <c r="E36" i="10"/>
  <c r="E35" i="10"/>
  <c r="E34" i="10"/>
  <c r="E26" i="10"/>
  <c r="E25" i="10"/>
  <c r="E24" i="10"/>
  <c r="E23" i="10"/>
  <c r="E22" i="10"/>
  <c r="E21" i="10"/>
  <c r="E20" i="10"/>
  <c r="E9" i="10"/>
  <c r="E8" i="10"/>
  <c r="C7" i="10"/>
  <c r="E7" i="10" s="1"/>
  <c r="K25" i="9"/>
  <c r="K23" i="9"/>
  <c r="K22" i="9"/>
  <c r="K21" i="9"/>
  <c r="K20" i="9"/>
  <c r="K26" i="9"/>
  <c r="K24" i="9"/>
  <c r="E61" i="8"/>
  <c r="E60" i="8" s="1"/>
  <c r="E57" i="8"/>
  <c r="E58" i="8"/>
  <c r="E59" i="8"/>
  <c r="E56" i="8"/>
  <c r="D57" i="8"/>
  <c r="D58" i="8"/>
  <c r="C56" i="8"/>
  <c r="D56" i="8" s="1"/>
  <c r="D61" i="8" s="1"/>
  <c r="D59" i="8"/>
  <c r="E92" i="9"/>
  <c r="E90" i="9"/>
  <c r="E89" i="9"/>
  <c r="E88" i="9"/>
  <c r="E79" i="9"/>
  <c r="E78" i="9"/>
  <c r="E77" i="9"/>
  <c r="E76" i="9"/>
  <c r="E75" i="9"/>
  <c r="E81" i="9" s="1"/>
  <c r="E62" i="9"/>
  <c r="E61" i="9"/>
  <c r="E53" i="9"/>
  <c r="E52" i="9" s="1"/>
  <c r="E48" i="9"/>
  <c r="E47" i="9"/>
  <c r="E35" i="9"/>
  <c r="E34" i="9"/>
  <c r="E9" i="9"/>
  <c r="C7" i="9"/>
  <c r="E7" i="9" s="1"/>
  <c r="E65" i="9"/>
  <c r="E64" i="9"/>
  <c r="E63" i="9"/>
  <c r="E51" i="9"/>
  <c r="E50" i="9"/>
  <c r="E49" i="9"/>
  <c r="E38" i="9"/>
  <c r="E37" i="9"/>
  <c r="E36" i="9"/>
  <c r="E8" i="9"/>
  <c r="D100" i="7"/>
  <c r="D99" i="7"/>
  <c r="D98" i="7"/>
  <c r="D102" i="7"/>
  <c r="D101" i="7"/>
  <c r="D60" i="7"/>
  <c r="K10" i="7"/>
  <c r="D75" i="7"/>
  <c r="D85" i="7"/>
  <c r="D84" i="7"/>
  <c r="D61" i="7"/>
  <c r="D73" i="7"/>
  <c r="D77" i="7" s="1"/>
  <c r="D66" i="7"/>
  <c r="D88" i="7"/>
  <c r="D87" i="7"/>
  <c r="D86" i="7"/>
  <c r="D74" i="7"/>
  <c r="D64" i="7"/>
  <c r="D63" i="7"/>
  <c r="D62" i="7"/>
  <c r="J10" i="7"/>
  <c r="H8" i="8"/>
  <c r="E97" i="4"/>
  <c r="D44" i="8"/>
  <c r="D31" i="8"/>
  <c r="D17" i="8"/>
  <c r="D21" i="8" s="1"/>
  <c r="D5" i="8"/>
  <c r="D46" i="8"/>
  <c r="D45" i="8"/>
  <c r="D35" i="8"/>
  <c r="D34" i="8"/>
  <c r="D33" i="8"/>
  <c r="D32" i="8"/>
  <c r="D19" i="8"/>
  <c r="D18" i="8"/>
  <c r="D8" i="8"/>
  <c r="D7" i="8"/>
  <c r="D6" i="8"/>
  <c r="D50" i="7"/>
  <c r="D49" i="7"/>
  <c r="D34" i="7"/>
  <c r="D33" i="7"/>
  <c r="D32" i="7"/>
  <c r="D31" i="7"/>
  <c r="D25" i="7"/>
  <c r="F14" i="7"/>
  <c r="E14" i="7"/>
  <c r="D14" i="7"/>
  <c r="F13" i="7"/>
  <c r="E13" i="7"/>
  <c r="D13" i="7"/>
  <c r="F12" i="7"/>
  <c r="E12" i="7"/>
  <c r="D12" i="7"/>
  <c r="F10" i="7"/>
  <c r="E10" i="7"/>
  <c r="D10" i="7"/>
  <c r="F8" i="7"/>
  <c r="E7" i="7"/>
  <c r="D6" i="7"/>
  <c r="D52" i="7" l="1"/>
  <c r="D104" i="7"/>
  <c r="D36" i="7"/>
  <c r="F16" i="7"/>
  <c r="E16" i="7"/>
  <c r="E9" i="1"/>
  <c r="E102" i="16"/>
  <c r="E104" i="16" s="1"/>
  <c r="E105" i="16" s="1"/>
  <c r="E39" i="16"/>
  <c r="E41" i="16" s="1"/>
  <c r="E42" i="16" s="1"/>
  <c r="E50" i="16"/>
  <c r="E52" i="16" s="1"/>
  <c r="E53" i="16" s="1"/>
  <c r="E26" i="16"/>
  <c r="E28" i="16" s="1"/>
  <c r="E29" i="16" s="1"/>
  <c r="E14" i="16"/>
  <c r="E16" i="16" s="1"/>
  <c r="E17" i="16" s="1"/>
  <c r="E78" i="16"/>
  <c r="E79" i="16" s="1"/>
  <c r="E106" i="9"/>
  <c r="E108" i="9" s="1"/>
  <c r="E109" i="9" s="1"/>
  <c r="E76" i="14"/>
  <c r="E75" i="14" s="1"/>
  <c r="E77" i="14" s="1"/>
  <c r="E88" i="14"/>
  <c r="E63" i="14"/>
  <c r="E62" i="14" s="1"/>
  <c r="E64" i="14" s="1"/>
  <c r="E50" i="14"/>
  <c r="E49" i="14" s="1"/>
  <c r="E51" i="14" s="1"/>
  <c r="E26" i="14"/>
  <c r="E25" i="14" s="1"/>
  <c r="E27" i="14" s="1"/>
  <c r="E28" i="14" s="1"/>
  <c r="E13" i="14"/>
  <c r="E38" i="14"/>
  <c r="E40" i="14" s="1"/>
  <c r="D89" i="15"/>
  <c r="D91" i="15" s="1"/>
  <c r="D92" i="15" s="1"/>
  <c r="D11" i="15"/>
  <c r="D13" i="15" s="1"/>
  <c r="D14" i="15" s="1"/>
  <c r="D75" i="15"/>
  <c r="D77" i="15" s="1"/>
  <c r="D78" i="15" s="1"/>
  <c r="D38" i="15"/>
  <c r="D51" i="15"/>
  <c r="K41" i="13"/>
  <c r="K40" i="13" s="1"/>
  <c r="E65" i="13"/>
  <c r="K65" i="13"/>
  <c r="K64" i="13"/>
  <c r="K66" i="13" s="1"/>
  <c r="K67" i="13" s="1"/>
  <c r="E64" i="13"/>
  <c r="E66" i="13" s="1"/>
  <c r="E67" i="13" s="1"/>
  <c r="K51" i="13"/>
  <c r="K53" i="13"/>
  <c r="K54" i="13" s="1"/>
  <c r="E51" i="13"/>
  <c r="E53" i="13" s="1"/>
  <c r="E54" i="13" s="1"/>
  <c r="E16" i="13"/>
  <c r="E15" i="13" s="1"/>
  <c r="E17" i="13" s="1"/>
  <c r="E18" i="13" s="1"/>
  <c r="K28" i="13"/>
  <c r="K27" i="13" s="1"/>
  <c r="K29" i="13" s="1"/>
  <c r="K30" i="13" s="1"/>
  <c r="E41" i="13"/>
  <c r="E40" i="13" s="1"/>
  <c r="E42" i="13" s="1"/>
  <c r="E43" i="13" s="1"/>
  <c r="K16" i="13"/>
  <c r="K15" i="13" s="1"/>
  <c r="K17" i="13" s="1"/>
  <c r="K18" i="13" s="1"/>
  <c r="K42" i="13"/>
  <c r="K43" i="13" s="1"/>
  <c r="E29" i="13"/>
  <c r="E30" i="13" s="1"/>
  <c r="E81" i="12"/>
  <c r="E83" i="12" s="1"/>
  <c r="E84" i="12" s="1"/>
  <c r="E41" i="12"/>
  <c r="E40" i="12" s="1"/>
  <c r="E42" i="12" s="1"/>
  <c r="E43" i="12" s="1"/>
  <c r="E29" i="12"/>
  <c r="E28" i="12" s="1"/>
  <c r="E30" i="12" s="1"/>
  <c r="E31" i="12" s="1"/>
  <c r="E12" i="12"/>
  <c r="E11" i="12" s="1"/>
  <c r="E67" i="12"/>
  <c r="E69" i="12" s="1"/>
  <c r="E70" i="12" s="1"/>
  <c r="E55" i="12"/>
  <c r="E56" i="12" s="1"/>
  <c r="E115" i="11"/>
  <c r="E114" i="11" s="1"/>
  <c r="E116" i="11" s="1"/>
  <c r="E117" i="11" s="1"/>
  <c r="E49" i="11"/>
  <c r="E48" i="11" s="1"/>
  <c r="E126" i="11"/>
  <c r="E128" i="11" s="1"/>
  <c r="E72" i="11"/>
  <c r="E71" i="11" s="1"/>
  <c r="E73" i="11" s="1"/>
  <c r="E74" i="11" s="1"/>
  <c r="E88" i="11"/>
  <c r="E87" i="11" s="1"/>
  <c r="E33" i="11"/>
  <c r="E32" i="11" s="1"/>
  <c r="E34" i="11" s="1"/>
  <c r="E99" i="11"/>
  <c r="E23" i="11"/>
  <c r="E59" i="11"/>
  <c r="E61" i="11" s="1"/>
  <c r="E62" i="11" s="1"/>
  <c r="E178" i="10"/>
  <c r="E148" i="10"/>
  <c r="E150" i="10" s="1"/>
  <c r="E151" i="10" s="1"/>
  <c r="E123" i="10"/>
  <c r="E125" i="10" s="1"/>
  <c r="E126" i="10" s="1"/>
  <c r="E162" i="10"/>
  <c r="E164" i="10" s="1"/>
  <c r="E165" i="10" s="1"/>
  <c r="E135" i="10"/>
  <c r="E137" i="10"/>
  <c r="E138" i="10" s="1"/>
  <c r="E106" i="10"/>
  <c r="E108" i="10" s="1"/>
  <c r="E109" i="10" s="1"/>
  <c r="E177" i="10"/>
  <c r="E179" i="10" s="1"/>
  <c r="E180" i="10" s="1"/>
  <c r="E190" i="10"/>
  <c r="E192" i="10" s="1"/>
  <c r="E193" i="10" s="1"/>
  <c r="E40" i="10"/>
  <c r="E39" i="10" s="1"/>
  <c r="E11" i="10"/>
  <c r="E10" i="10" s="1"/>
  <c r="E12" i="10" s="1"/>
  <c r="E13" i="10" s="1"/>
  <c r="E82" i="10"/>
  <c r="E81" i="10" s="1"/>
  <c r="E83" i="10" s="1"/>
  <c r="E84" i="10" s="1"/>
  <c r="E28" i="10"/>
  <c r="E27" i="10" s="1"/>
  <c r="E29" i="10" s="1"/>
  <c r="E30" i="10" s="1"/>
  <c r="E95" i="10"/>
  <c r="E94" i="10" s="1"/>
  <c r="E96" i="10" s="1"/>
  <c r="E97" i="10" s="1"/>
  <c r="E53" i="10"/>
  <c r="E52" i="10" s="1"/>
  <c r="E67" i="10"/>
  <c r="E66" i="10"/>
  <c r="E68" i="10"/>
  <c r="E69" i="10" s="1"/>
  <c r="K28" i="9"/>
  <c r="K29" i="9" s="1"/>
  <c r="K30" i="9" s="1"/>
  <c r="D60" i="8"/>
  <c r="D62" i="8" s="1"/>
  <c r="D63" i="8" s="1"/>
  <c r="E67" i="9"/>
  <c r="E40" i="9"/>
  <c r="E39" i="9" s="1"/>
  <c r="E91" i="9"/>
  <c r="E93" i="9" s="1"/>
  <c r="E94" i="9" s="1"/>
  <c r="E80" i="9"/>
  <c r="E82" i="9" s="1"/>
  <c r="E83" i="9" s="1"/>
  <c r="E66" i="9"/>
  <c r="E69" i="9" s="1"/>
  <c r="E11" i="9"/>
  <c r="E10" i="9" s="1"/>
  <c r="E12" i="9" s="1"/>
  <c r="E13" i="9" s="1"/>
  <c r="E27" i="9"/>
  <c r="E54" i="9"/>
  <c r="E55" i="9" s="1"/>
  <c r="D103" i="7"/>
  <c r="D105" i="7" s="1"/>
  <c r="D106" i="7" s="1"/>
  <c r="D16" i="7"/>
  <c r="D15" i="7" s="1"/>
  <c r="D17" i="7" s="1"/>
  <c r="D18" i="7" s="1"/>
  <c r="D90" i="7"/>
  <c r="D89" i="7" s="1"/>
  <c r="D91" i="7" s="1"/>
  <c r="D92" i="7" s="1"/>
  <c r="D76" i="7"/>
  <c r="D78" i="7" s="1"/>
  <c r="D79" i="7" s="1"/>
  <c r="D65" i="7"/>
  <c r="D67" i="7" s="1"/>
  <c r="D68" i="7" s="1"/>
  <c r="D48" i="8"/>
  <c r="D37" i="8"/>
  <c r="D10" i="8"/>
  <c r="D9" i="8" s="1"/>
  <c r="D11" i="8" s="1"/>
  <c r="D12" i="8" s="1"/>
  <c r="D20" i="8"/>
  <c r="D22" i="8" s="1"/>
  <c r="D23" i="8" s="1"/>
  <c r="D36" i="8"/>
  <c r="D38" i="8" s="1"/>
  <c r="D39" i="8" s="1"/>
  <c r="D47" i="8"/>
  <c r="D49" i="8" s="1"/>
  <c r="D50" i="8" s="1"/>
  <c r="E15" i="7"/>
  <c r="E17" i="7" s="1"/>
  <c r="E18" i="7" s="1"/>
  <c r="F15" i="7"/>
  <c r="F17" i="7" s="1"/>
  <c r="F18" i="7" s="1"/>
  <c r="D35" i="7"/>
  <c r="D37" i="7" s="1"/>
  <c r="D38" i="7" s="1"/>
  <c r="D40" i="15" l="1"/>
  <c r="D41" i="15" s="1"/>
  <c r="D62" i="15"/>
  <c r="D64" i="15" s="1"/>
  <c r="D65" i="15" s="1"/>
  <c r="E13" i="12"/>
  <c r="E14" i="12" s="1"/>
  <c r="E89" i="11"/>
  <c r="E90" i="11" s="1"/>
  <c r="E50" i="11"/>
  <c r="E51" i="11" s="1"/>
  <c r="E98" i="11"/>
  <c r="E100" i="11"/>
  <c r="E101" i="11" s="1"/>
  <c r="E41" i="10"/>
  <c r="E42" i="10" s="1"/>
  <c r="E54" i="10"/>
  <c r="E55" i="10" s="1"/>
  <c r="E41" i="9"/>
  <c r="E42" i="9" s="1"/>
  <c r="D51" i="7"/>
  <c r="D53" i="7" s="1"/>
  <c r="D54" i="7" s="1"/>
  <c r="L44" i="6" l="1"/>
  <c r="L45" i="6"/>
  <c r="L39" i="6"/>
  <c r="K62" i="6"/>
  <c r="K73" i="6"/>
  <c r="K44" i="6"/>
  <c r="I32" i="6"/>
  <c r="I31" i="6"/>
  <c r="E69" i="6"/>
  <c r="E71" i="6"/>
  <c r="E70" i="6"/>
  <c r="E68" i="6"/>
  <c r="E67" i="6"/>
  <c r="E73" i="6" s="1"/>
  <c r="E58" i="6"/>
  <c r="E57" i="6"/>
  <c r="E56" i="6"/>
  <c r="E55" i="6"/>
  <c r="E46" i="6"/>
  <c r="E45" i="6"/>
  <c r="E44" i="6"/>
  <c r="E43" i="6"/>
  <c r="E42" i="6"/>
  <c r="E33" i="6"/>
  <c r="E35" i="6"/>
  <c r="E34" i="6"/>
  <c r="E32" i="6"/>
  <c r="E31" i="6"/>
  <c r="E19" i="6"/>
  <c r="E18" i="6"/>
  <c r="O5" i="6"/>
  <c r="J5" i="6"/>
  <c r="E5" i="6"/>
  <c r="E22" i="6"/>
  <c r="E21" i="6"/>
  <c r="E20" i="6"/>
  <c r="O9" i="6"/>
  <c r="J9" i="6"/>
  <c r="E9" i="6"/>
  <c r="O8" i="6"/>
  <c r="J8" i="6"/>
  <c r="E8" i="6"/>
  <c r="O7" i="6"/>
  <c r="J7" i="6"/>
  <c r="E7" i="6"/>
  <c r="O6" i="6"/>
  <c r="J6" i="6"/>
  <c r="E6" i="6"/>
  <c r="E66" i="5"/>
  <c r="E58" i="5"/>
  <c r="E36" i="5"/>
  <c r="E54" i="5"/>
  <c r="E53" i="5"/>
  <c r="D31" i="1"/>
  <c r="E14" i="5"/>
  <c r="E6" i="5"/>
  <c r="E44" i="5"/>
  <c r="E34" i="5"/>
  <c r="E32" i="5"/>
  <c r="E21" i="5"/>
  <c r="E20" i="5"/>
  <c r="E19" i="5"/>
  <c r="E5" i="5"/>
  <c r="E25" i="5"/>
  <c r="E38" i="5"/>
  <c r="E93" i="5"/>
  <c r="E91" i="5"/>
  <c r="E86" i="5"/>
  <c r="E85" i="5"/>
  <c r="O80" i="5"/>
  <c r="J80" i="5"/>
  <c r="E80" i="5"/>
  <c r="J72" i="5"/>
  <c r="O72" i="5"/>
  <c r="O73" i="5"/>
  <c r="J73" i="5"/>
  <c r="E73" i="5"/>
  <c r="O76" i="5"/>
  <c r="O75" i="5"/>
  <c r="O74" i="5"/>
  <c r="E72" i="5"/>
  <c r="E59" i="5"/>
  <c r="C61" i="5"/>
  <c r="E61" i="5" s="1"/>
  <c r="E45" i="5"/>
  <c r="J76" i="5"/>
  <c r="J75" i="5"/>
  <c r="J74" i="5"/>
  <c r="E89" i="5"/>
  <c r="E88" i="5"/>
  <c r="E87" i="5"/>
  <c r="E76" i="5"/>
  <c r="E75" i="5"/>
  <c r="E74" i="5"/>
  <c r="E64" i="5"/>
  <c r="E63" i="5"/>
  <c r="E62" i="5"/>
  <c r="E50" i="5"/>
  <c r="E49" i="5"/>
  <c r="E48" i="5"/>
  <c r="E47" i="5"/>
  <c r="E46" i="5"/>
  <c r="E33" i="5"/>
  <c r="E10" i="5"/>
  <c r="E9" i="5"/>
  <c r="E8" i="5"/>
  <c r="H74" i="2"/>
  <c r="D86" i="2"/>
  <c r="D33" i="2"/>
  <c r="D35" i="2"/>
  <c r="D85" i="2"/>
  <c r="D89" i="2"/>
  <c r="D88" i="2"/>
  <c r="D87" i="2"/>
  <c r="D55" i="1"/>
  <c r="F67" i="1"/>
  <c r="D57" i="1"/>
  <c r="D56" i="1"/>
  <c r="D45" i="1"/>
  <c r="D44" i="1"/>
  <c r="D43" i="1"/>
  <c r="D30" i="1"/>
  <c r="D18" i="1"/>
  <c r="D16" i="1"/>
  <c r="D4" i="1"/>
  <c r="D3" i="1"/>
  <c r="D47" i="1" l="1"/>
  <c r="E24" i="6"/>
  <c r="E37" i="6"/>
  <c r="E11" i="6"/>
  <c r="J11" i="6"/>
  <c r="J10" i="6" s="1"/>
  <c r="J12" i="6" s="1"/>
  <c r="J13" i="6" s="1"/>
  <c r="E47" i="6"/>
  <c r="O11" i="6"/>
  <c r="E72" i="6"/>
  <c r="E74" i="6" s="1"/>
  <c r="E75" i="6" s="1"/>
  <c r="E60" i="6"/>
  <c r="E59" i="6" s="1"/>
  <c r="E61" i="6" s="1"/>
  <c r="E62" i="6" s="1"/>
  <c r="E48" i="6"/>
  <c r="E49" i="6" s="1"/>
  <c r="E36" i="6"/>
  <c r="E38" i="6" s="1"/>
  <c r="O10" i="6"/>
  <c r="O12" i="6" s="1"/>
  <c r="O13" i="6" s="1"/>
  <c r="E10" i="6"/>
  <c r="E12" i="6" s="1"/>
  <c r="E13" i="6" s="1"/>
  <c r="E23" i="6"/>
  <c r="E25" i="6" s="1"/>
  <c r="E26" i="6" s="1"/>
  <c r="E90" i="5"/>
  <c r="E92" i="5" s="1"/>
  <c r="O78" i="5"/>
  <c r="O77" i="5" s="1"/>
  <c r="O79" i="5" s="1"/>
  <c r="J78" i="5"/>
  <c r="J77" i="5" s="1"/>
  <c r="J79" i="5" s="1"/>
  <c r="E78" i="5"/>
  <c r="E77" i="5" s="1"/>
  <c r="E79" i="5" s="1"/>
  <c r="E65" i="5"/>
  <c r="E67" i="5" s="1"/>
  <c r="E68" i="5" s="1"/>
  <c r="E52" i="5"/>
  <c r="E51" i="5" s="1"/>
  <c r="E23" i="5"/>
  <c r="E22" i="5" s="1"/>
  <c r="E24" i="5" s="1"/>
  <c r="E12" i="5"/>
  <c r="E11" i="5" s="1"/>
  <c r="E13" i="5" s="1"/>
  <c r="E35" i="5"/>
  <c r="E37" i="5" s="1"/>
  <c r="D91" i="2"/>
  <c r="D90" i="2" s="1"/>
  <c r="D59" i="1"/>
  <c r="D58" i="1" s="1"/>
  <c r="D60" i="1" s="1"/>
  <c r="D61" i="1" s="1"/>
  <c r="D46" i="1"/>
  <c r="D48" i="1" s="1"/>
  <c r="D49" i="1" s="1"/>
  <c r="D92" i="2" l="1"/>
  <c r="D93" i="2" s="1"/>
  <c r="D68" i="2" l="1"/>
  <c r="D34" i="2"/>
  <c r="D75" i="2"/>
  <c r="D74" i="2"/>
  <c r="D76" i="2"/>
  <c r="D20" i="2"/>
  <c r="D18" i="2"/>
  <c r="D5" i="2"/>
  <c r="D4" i="2"/>
  <c r="D61" i="2"/>
  <c r="D60" i="2"/>
  <c r="E31" i="4"/>
  <c r="O88" i="4"/>
  <c r="O87" i="4"/>
  <c r="O86" i="4"/>
  <c r="O85" i="4"/>
  <c r="O84" i="4"/>
  <c r="J88" i="4"/>
  <c r="J87" i="4"/>
  <c r="J86" i="4"/>
  <c r="J85" i="4"/>
  <c r="J84" i="4"/>
  <c r="E101" i="4"/>
  <c r="E100" i="4"/>
  <c r="E99" i="4"/>
  <c r="E98" i="4"/>
  <c r="E86" i="4"/>
  <c r="E85" i="4"/>
  <c r="E84" i="4"/>
  <c r="E71" i="4"/>
  <c r="E70" i="4"/>
  <c r="E57" i="4"/>
  <c r="E56" i="4"/>
  <c r="E44" i="4"/>
  <c r="E33" i="4"/>
  <c r="E18" i="4"/>
  <c r="E17" i="4"/>
  <c r="E20" i="4"/>
  <c r="E21" i="4"/>
  <c r="E22" i="4"/>
  <c r="E32" i="4"/>
  <c r="E45" i="4"/>
  <c r="E46" i="4"/>
  <c r="E58" i="4"/>
  <c r="E59" i="4"/>
  <c r="E60" i="4"/>
  <c r="E61" i="4"/>
  <c r="E62" i="4"/>
  <c r="C73" i="4"/>
  <c r="E73" i="4" s="1"/>
  <c r="E74" i="4"/>
  <c r="E75" i="4"/>
  <c r="E76" i="4"/>
  <c r="E87" i="4"/>
  <c r="E88" i="4"/>
  <c r="E4" i="3"/>
  <c r="E5" i="3"/>
  <c r="E6" i="3"/>
  <c r="E7" i="3"/>
  <c r="E10" i="3" s="1"/>
  <c r="E8" i="3"/>
  <c r="C17" i="3"/>
  <c r="E17" i="3" s="1"/>
  <c r="E21" i="3" s="1"/>
  <c r="E18" i="3"/>
  <c r="E19" i="3"/>
  <c r="E31" i="3"/>
  <c r="E32" i="3"/>
  <c r="E33" i="3"/>
  <c r="E34" i="3"/>
  <c r="E35" i="3"/>
  <c r="E37" i="3"/>
  <c r="E44" i="3"/>
  <c r="E45" i="3"/>
  <c r="E48" i="3" s="1"/>
  <c r="E46" i="3"/>
  <c r="D78" i="2" l="1"/>
  <c r="D77" i="2" s="1"/>
  <c r="D79" i="2" s="1"/>
  <c r="D80" i="2" s="1"/>
  <c r="O90" i="4"/>
  <c r="O89" i="4" s="1"/>
  <c r="O91" i="4" s="1"/>
  <c r="O92" i="4" s="1"/>
  <c r="J90" i="4"/>
  <c r="J89" i="4" s="1"/>
  <c r="J91" i="4" s="1"/>
  <c r="J92" i="4" s="1"/>
  <c r="E103" i="4"/>
  <c r="E102" i="4" s="1"/>
  <c r="E104" i="4" s="1"/>
  <c r="E105" i="4" s="1"/>
  <c r="E90" i="4"/>
  <c r="E89" i="4" s="1"/>
  <c r="E91" i="4" s="1"/>
  <c r="E92" i="4" s="1"/>
  <c r="E78" i="4"/>
  <c r="E64" i="4"/>
  <c r="E63" i="4" s="1"/>
  <c r="E65" i="4" s="1"/>
  <c r="E66" i="4" s="1"/>
  <c r="E48" i="4"/>
  <c r="E35" i="4"/>
  <c r="E34" i="4" s="1"/>
  <c r="E24" i="4"/>
  <c r="E23" i="4"/>
  <c r="E25" i="4" s="1"/>
  <c r="E26" i="4" s="1"/>
  <c r="E47" i="4"/>
  <c r="E49" i="4" s="1"/>
  <c r="E50" i="4" s="1"/>
  <c r="E77" i="4"/>
  <c r="E79" i="4" s="1"/>
  <c r="E80" i="4" s="1"/>
  <c r="E47" i="3"/>
  <c r="E49" i="3" s="1"/>
  <c r="E50" i="3" s="1"/>
  <c r="E9" i="3"/>
  <c r="E11" i="3"/>
  <c r="E12" i="3" s="1"/>
  <c r="E20" i="3"/>
  <c r="E22" i="3" s="1"/>
  <c r="E23" i="3" s="1"/>
  <c r="E36" i="3"/>
  <c r="E38" i="3" s="1"/>
  <c r="E39" i="3" s="1"/>
  <c r="E36" i="4" l="1"/>
  <c r="E37" i="4" s="1"/>
  <c r="D64" i="2" l="1"/>
  <c r="D63" i="2"/>
  <c r="D62" i="2"/>
  <c r="D47" i="2"/>
  <c r="D46" i="2"/>
  <c r="D50" i="2"/>
  <c r="D49" i="2"/>
  <c r="D48" i="2"/>
  <c r="D37" i="2"/>
  <c r="D36" i="2"/>
  <c r="D19" i="2"/>
  <c r="D9" i="2"/>
  <c r="D8" i="2"/>
  <c r="D7" i="2"/>
  <c r="D34" i="1"/>
  <c r="D33" i="1"/>
  <c r="D32" i="1"/>
  <c r="D17" i="1"/>
  <c r="D7" i="1"/>
  <c r="D6" i="1"/>
  <c r="D5" i="1"/>
  <c r="D36" i="1" l="1"/>
  <c r="D35" i="1" s="1"/>
  <c r="D39" i="2"/>
  <c r="D9" i="1"/>
  <c r="D8" i="1" s="1"/>
  <c r="D20" i="1"/>
  <c r="D19" i="1" s="1"/>
  <c r="D22" i="2"/>
  <c r="D21" i="2" s="1"/>
  <c r="D23" i="2" s="1"/>
  <c r="D24" i="2" s="1"/>
  <c r="D65" i="2"/>
  <c r="D67" i="2" s="1"/>
  <c r="D11" i="2"/>
  <c r="D10" i="2" s="1"/>
  <c r="D12" i="2" s="1"/>
  <c r="D13" i="2" s="1"/>
  <c r="D52" i="2"/>
  <c r="D38" i="2"/>
  <c r="D40" i="2" s="1"/>
  <c r="D41" i="2" s="1"/>
  <c r="D37" i="1" l="1"/>
  <c r="D38" i="1" s="1"/>
  <c r="D21" i="1"/>
  <c r="D22" i="1" s="1"/>
  <c r="D10" i="1"/>
  <c r="D11" i="1" s="1"/>
  <c r="D51" i="2"/>
  <c r="D53" i="2" s="1"/>
  <c r="D54" i="2" s="1"/>
</calcChain>
</file>

<file path=xl/sharedStrings.xml><?xml version="1.0" encoding="utf-8"?>
<sst xmlns="http://schemas.openxmlformats.org/spreadsheetml/2006/main" count="1990" uniqueCount="228">
  <si>
    <t>GUATAPÉ</t>
  </si>
  <si>
    <t>BUSETA</t>
  </si>
  <si>
    <t xml:space="preserve">GUIA </t>
  </si>
  <si>
    <t>BARCO</t>
  </si>
  <si>
    <t>ALMUERZO</t>
  </si>
  <si>
    <t>HIDRATACIÓN</t>
  </si>
  <si>
    <t>AGENCIAMIENTO</t>
  </si>
  <si>
    <t>PRECIO NETO</t>
  </si>
  <si>
    <t xml:space="preserve">PRECIO DE VENTA </t>
  </si>
  <si>
    <t xml:space="preserve">PRECIO DE VENTA DOLARES </t>
  </si>
  <si>
    <t>TRANSFERS</t>
  </si>
  <si>
    <t>CITY TOUR + COMUNA 13</t>
  </si>
  <si>
    <t>ENTRADAS</t>
  </si>
  <si>
    <t>CASTILLO</t>
  </si>
  <si>
    <t xml:space="preserve">Almuerzo </t>
  </si>
  <si>
    <t>POPA</t>
  </si>
  <si>
    <t>CITY TOUR FULL</t>
  </si>
  <si>
    <t xml:space="preserve">HACIENDA NAPOLÉS </t>
  </si>
  <si>
    <t>PASAPORTE</t>
  </si>
  <si>
    <t>DESAYUNO</t>
  </si>
  <si>
    <t xml:space="preserve">TOUR JARDIN </t>
  </si>
  <si>
    <t xml:space="preserve">TOUR DE COMPRAS </t>
  </si>
  <si>
    <t>METRO</t>
  </si>
  <si>
    <t>RUMBA EN CHIVA</t>
  </si>
  <si>
    <t>CARTAGENA</t>
  </si>
  <si>
    <t>MEDELLIN</t>
  </si>
  <si>
    <t>ISLAS DEL ROSARIO</t>
  </si>
  <si>
    <t>IMPUESTO</t>
  </si>
  <si>
    <t>TRASLADOS</t>
  </si>
  <si>
    <t>BORA BORA</t>
  </si>
  <si>
    <t xml:space="preserve">TOUR BAHIA </t>
  </si>
  <si>
    <t xml:space="preserve">GUATAPÉ </t>
  </si>
  <si>
    <t>KOKOMO</t>
  </si>
  <si>
    <t>ISLA DEL ENCANTO</t>
  </si>
  <si>
    <r>
      <t xml:space="preserve">ISLAS DEL ROSARIO </t>
    </r>
    <r>
      <rPr>
        <sz val="10"/>
        <rFont val="Calibri"/>
        <family val="2"/>
        <scheme val="minor"/>
      </rPr>
      <t>BORA BORA</t>
    </r>
  </si>
  <si>
    <r>
      <t>ISLAS DEL ROSARIO</t>
    </r>
    <r>
      <rPr>
        <sz val="11"/>
        <rFont val="Calibri"/>
        <family val="2"/>
        <scheme val="minor"/>
      </rPr>
      <t xml:space="preserve"> KOKOMO</t>
    </r>
  </si>
  <si>
    <r>
      <t>ISLAS DEL ROSARIO</t>
    </r>
    <r>
      <rPr>
        <sz val="11"/>
        <rFont val="Calibri"/>
        <family val="2"/>
        <scheme val="minor"/>
      </rPr>
      <t xml:space="preserve"> I. ENCANTO</t>
    </r>
  </si>
  <si>
    <t>TRANSFERS MDE</t>
  </si>
  <si>
    <t>TRANSFERS CTG</t>
  </si>
  <si>
    <t xml:space="preserve">ALMUERZO </t>
  </si>
  <si>
    <t xml:space="preserve">MEDELLIN </t>
  </si>
  <si>
    <t xml:space="preserve">CHIVA RUMBERA </t>
  </si>
  <si>
    <t xml:space="preserve">RUMBA EN CHIVA </t>
  </si>
  <si>
    <t>TOURS</t>
  </si>
  <si>
    <t>PRECIO X PERSONA 
ADULTO</t>
  </si>
  <si>
    <t>MEDELLIN JUNIO 2025</t>
  </si>
  <si>
    <t xml:space="preserve">* Menores de 4 años no pagan </t>
  </si>
  <si>
    <t>PRECIO X PERSONA 
NIÑO (5-10 AÑOS)</t>
  </si>
  <si>
    <t xml:space="preserve">TOUR SANTA ELENA </t>
  </si>
  <si>
    <t>FINCA</t>
  </si>
  <si>
    <t xml:space="preserve">TOUR NOCTURNO </t>
  </si>
  <si>
    <t>SIBARITA</t>
  </si>
  <si>
    <t>TOUR BARU</t>
  </si>
  <si>
    <t xml:space="preserve">TRANSPORTE </t>
  </si>
  <si>
    <t xml:space="preserve">CAMAS </t>
  </si>
  <si>
    <t>SIBARITA MASTER</t>
  </si>
  <si>
    <t xml:space="preserve">TOUR BARRANQUILLA </t>
  </si>
  <si>
    <t xml:space="preserve">HOSPEDAJE </t>
  </si>
  <si>
    <t xml:space="preserve">PRECIO POR NOCHE </t>
  </si>
  <si>
    <t>HOTEL ATLANCTIC LUX 
(Desayuno tipo bufett incluido, la acomodaciones doble o multiple.)</t>
  </si>
  <si>
    <t xml:space="preserve">APARTAMENTO LAGUITO 
(x 6 Personas por apartamento.
Incluye las manillas y el aseo del dia de la salida.
No hay cambio de toallas o sabanas.) </t>
  </si>
  <si>
    <t xml:space="preserve">TOURS </t>
  </si>
  <si>
    <t xml:space="preserve">PRECIO POR PERSONA </t>
  </si>
  <si>
    <t xml:space="preserve">TRASLADOS </t>
  </si>
  <si>
    <t>ISLAS DEL ROSARIO 
Opciones:</t>
  </si>
  <si>
    <r>
      <rPr>
        <b/>
        <sz val="11"/>
        <color theme="1"/>
        <rFont val="Calibri"/>
        <family val="2"/>
        <scheme val="minor"/>
      </rPr>
      <t>HOSPEDAJE</t>
    </r>
    <r>
      <rPr>
        <sz val="11"/>
        <color theme="1"/>
        <rFont val="Calibri"/>
        <family val="2"/>
        <scheme val="minor"/>
      </rPr>
      <t xml:space="preserve"> 
</t>
    </r>
    <r>
      <rPr>
        <b/>
        <sz val="11"/>
        <color theme="1"/>
        <rFont val="Calibri"/>
        <family val="2"/>
        <scheme val="minor"/>
      </rPr>
      <t xml:space="preserve">HOTEL ATLANCTIC LUX </t>
    </r>
    <r>
      <rPr>
        <sz val="11"/>
        <color theme="1"/>
        <rFont val="Calibri"/>
        <family val="2"/>
        <scheme val="minor"/>
      </rPr>
      <t xml:space="preserve">
(Desayuno tipo bufett incluido, la acomodaciones doble o multiple.)</t>
    </r>
  </si>
  <si>
    <t xml:space="preserve">PRECIO EN DOLARES </t>
  </si>
  <si>
    <t xml:space="preserve">SUB TOTAL </t>
  </si>
  <si>
    <t xml:space="preserve">TOTAL </t>
  </si>
  <si>
    <t>TOTAL TOURS + HOTEL</t>
  </si>
  <si>
    <t xml:space="preserve">TOUR JAIME DUQUE </t>
  </si>
  <si>
    <t>COUNTY</t>
  </si>
  <si>
    <t xml:space="preserve">VAN </t>
  </si>
  <si>
    <t>VEHÍCULO</t>
  </si>
  <si>
    <t>BRAZALETES</t>
  </si>
  <si>
    <t xml:space="preserve">CITY TOUR + MONSERRATE </t>
  </si>
  <si>
    <t>MUSEO DEL ORO</t>
  </si>
  <si>
    <t>MONSERRATE</t>
  </si>
  <si>
    <t xml:space="preserve">CATEDRAL DE SAL </t>
  </si>
  <si>
    <t>TOUR JAIME DUQUE</t>
  </si>
  <si>
    <t>CITY TOUR + MOSERRATE</t>
  </si>
  <si>
    <t>TOUR ZIPAQUIRA</t>
  </si>
  <si>
    <t>BOGOTA</t>
  </si>
  <si>
    <t>SUB TOTAL</t>
  </si>
  <si>
    <t xml:space="preserve">TOUR ZIPAQUIRA </t>
  </si>
  <si>
    <t>MEDELLÍN</t>
  </si>
  <si>
    <t>OPCIONAL</t>
  </si>
  <si>
    <t>TOUR NOCTURNO</t>
  </si>
  <si>
    <t>CENA</t>
  </si>
  <si>
    <t xml:space="preserve">Cultural City Tour </t>
  </si>
  <si>
    <t xml:space="preserve">Transfers </t>
  </si>
  <si>
    <t>Discovery the Beauty</t>
  </si>
  <si>
    <t xml:space="preserve">Botanic Garden </t>
  </si>
  <si>
    <t>From Chain to Freedom</t>
  </si>
  <si>
    <t>staff</t>
  </si>
  <si>
    <t>HIDRATACIÓN + palenquera</t>
  </si>
  <si>
    <t>JARDIN BOTANICO</t>
  </si>
  <si>
    <t>ENTRADA</t>
  </si>
  <si>
    <t>CATAMARAN</t>
  </si>
  <si>
    <t>SAN PEDRO Y GETSEMANI</t>
  </si>
  <si>
    <t>TRANSPORTE</t>
  </si>
  <si>
    <t xml:space="preserve">ENTRADA </t>
  </si>
  <si>
    <t>GETSEMANI</t>
  </si>
  <si>
    <t>VISITA ONG</t>
  </si>
  <si>
    <t>Lights on the Bay</t>
  </si>
  <si>
    <t xml:space="preserve">ONG Transportation </t>
  </si>
  <si>
    <t>Price per   Person</t>
  </si>
  <si>
    <t>EXPERIENCES</t>
  </si>
  <si>
    <t xml:space="preserve">COMPRAS </t>
  </si>
  <si>
    <t>Tour Pablo Escobar</t>
  </si>
  <si>
    <t>MUSEO</t>
  </si>
  <si>
    <t xml:space="preserve">HIDRATACIÓN </t>
  </si>
  <si>
    <t xml:space="preserve">CITY TOUR </t>
  </si>
  <si>
    <t xml:space="preserve">PLAYA BLANCA </t>
  </si>
  <si>
    <t xml:space="preserve">BARRANQUILLA </t>
  </si>
  <si>
    <t xml:space="preserve">PLAYA BLANCA Y ACUARIO </t>
  </si>
  <si>
    <t xml:space="preserve">SANTA MARTA </t>
  </si>
  <si>
    <t xml:space="preserve">CITY + COMPRAS </t>
  </si>
  <si>
    <t xml:space="preserve">CARTAGENA </t>
  </si>
  <si>
    <t xml:space="preserve">CITY TOUR + COMPRAS </t>
  </si>
  <si>
    <t>LANCHA + ENTRADA</t>
  </si>
  <si>
    <t xml:space="preserve">SILLAS </t>
  </si>
  <si>
    <t>HIDRATACIÓN + PALENQUERA</t>
  </si>
  <si>
    <t xml:space="preserve">ITINERARIO </t>
  </si>
  <si>
    <t>TRANSFER AEROPUERTO - HOTEL</t>
  </si>
  <si>
    <t xml:space="preserve">Vuelo recomendado llegada a Cartagena </t>
  </si>
  <si>
    <t>Día 1</t>
  </si>
  <si>
    <t xml:space="preserve">Tour Bahía </t>
  </si>
  <si>
    <t>Día 2</t>
  </si>
  <si>
    <t>City Tour Full</t>
  </si>
  <si>
    <t>Día 3</t>
  </si>
  <si>
    <t>Día 4</t>
  </si>
  <si>
    <t>Barranquilla</t>
  </si>
  <si>
    <t>Día 5</t>
  </si>
  <si>
    <t xml:space="preserve">Playa Blanca + Acuario </t>
  </si>
  <si>
    <t>Playa Blanca Barú + Aviario</t>
  </si>
  <si>
    <t>Día 6</t>
  </si>
  <si>
    <t>Día 7</t>
  </si>
  <si>
    <t xml:space="preserve">Transfer hotel - Aeropuerto </t>
  </si>
  <si>
    <t>Vuelo recomendado saliendo de Santa Marta - BGT -SJC O BARRANQUILLA</t>
  </si>
  <si>
    <t>MEDELLIN + EJE CAFETERO</t>
  </si>
  <si>
    <t>TRANSFER MED</t>
  </si>
  <si>
    <t xml:space="preserve">DICIEMBRE </t>
  </si>
  <si>
    <t>ENERO</t>
  </si>
  <si>
    <t xml:space="preserve">Miercoles </t>
  </si>
  <si>
    <t>Jueves</t>
  </si>
  <si>
    <t>Viernes</t>
  </si>
  <si>
    <t>Sábado</t>
  </si>
  <si>
    <t>Domingo</t>
  </si>
  <si>
    <t>Lunes</t>
  </si>
  <si>
    <t>Martes</t>
  </si>
  <si>
    <t>Miércoles</t>
  </si>
  <si>
    <t>BARRANQUILLA</t>
  </si>
  <si>
    <t>Traslado Aeropuerto -Hotel</t>
  </si>
  <si>
    <t>Tour Guatapé</t>
  </si>
  <si>
    <t xml:space="preserve">City tour </t>
  </si>
  <si>
    <t xml:space="preserve">Tour compras </t>
  </si>
  <si>
    <t>City tour  Barranquilla</t>
  </si>
  <si>
    <t>City tour             Santa Marta</t>
  </si>
  <si>
    <t>Traslado Aeropuerto</t>
  </si>
  <si>
    <t xml:space="preserve">Tour de luces </t>
  </si>
  <si>
    <t>Tour puerto Colombia</t>
  </si>
  <si>
    <t xml:space="preserve">TOUR DE LUCES </t>
  </si>
  <si>
    <t xml:space="preserve">CITY TOUR SANTA MARTA </t>
  </si>
  <si>
    <t>ENTRADAS QUINTA</t>
  </si>
  <si>
    <t>ENTRADAS MUSEO CARNAVAL</t>
  </si>
  <si>
    <t>CITY TOUR PUERTO COLOMBIA</t>
  </si>
  <si>
    <t>TOUR GUATAPE</t>
  </si>
  <si>
    <t xml:space="preserve">TOUR COMPRAS  </t>
  </si>
  <si>
    <t>PUERTO COLOMBIA</t>
  </si>
  <si>
    <t>CITY TOUR  SANTA MARTA</t>
  </si>
  <si>
    <t>CITY TOUR  FULL</t>
  </si>
  <si>
    <t xml:space="preserve">COTIZACIÓN 3 PAX CARLOS </t>
  </si>
  <si>
    <t xml:space="preserve">COTIZACIÓN 5 PAX INDIVIALES </t>
  </si>
  <si>
    <t>PLAYA BLANCA</t>
  </si>
  <si>
    <t>CARTAGENA X5</t>
  </si>
  <si>
    <t>CARTAGENA X3</t>
  </si>
  <si>
    <t>V. NIÑO</t>
  </si>
  <si>
    <t>HACIENDA NAPOLES</t>
  </si>
  <si>
    <t xml:space="preserve"> TOUR JARDIN </t>
  </si>
  <si>
    <t xml:space="preserve">TOUR PABLO ESCOBAR </t>
  </si>
  <si>
    <t>TUC TUC</t>
  </si>
  <si>
    <t>ENTRADAS MIRADORES</t>
  </si>
  <si>
    <t>ALMUERZO+DESAYUNO+DULCE</t>
  </si>
  <si>
    <t xml:space="preserve">DESAYUNO </t>
  </si>
  <si>
    <t>ALMUERZO+DULCE</t>
  </si>
  <si>
    <t>TOUR PABLO ESCOBAR</t>
  </si>
  <si>
    <t xml:space="preserve">COTIZACIÓN 22 PAX </t>
  </si>
  <si>
    <t>ISLAS DEL ROSARIO DAY GOLD</t>
  </si>
  <si>
    <t>ISLAS DEL ROSARIO DAY PREMIUM</t>
  </si>
  <si>
    <t>ISLAS DEL ROSARIO BORA BORA</t>
  </si>
  <si>
    <t>BORA BORA VIP</t>
  </si>
  <si>
    <r>
      <t xml:space="preserve">ISLAS DEL ROSARIO </t>
    </r>
    <r>
      <rPr>
        <sz val="10"/>
        <color theme="4" tint="-0.499984740745262"/>
        <rFont val="Calibri"/>
        <family val="2"/>
        <scheme val="minor"/>
      </rPr>
      <t>BORA BORA</t>
    </r>
  </si>
  <si>
    <r>
      <t>ISLAS DEL ROSARIO</t>
    </r>
    <r>
      <rPr>
        <sz val="11"/>
        <color theme="4" tint="-0.499984740745262"/>
        <rFont val="Calibri"/>
        <family val="2"/>
        <scheme val="minor"/>
      </rPr>
      <t xml:space="preserve"> I. PREMIUM</t>
    </r>
  </si>
  <si>
    <r>
      <t>ISLAS DEL ROSARIO</t>
    </r>
    <r>
      <rPr>
        <sz val="11"/>
        <color theme="4" tint="-0.499984740745262"/>
        <rFont val="Calibri"/>
        <family val="2"/>
        <scheme val="minor"/>
      </rPr>
      <t xml:space="preserve"> I. GOLD</t>
    </r>
  </si>
  <si>
    <t>BARRANQUILA</t>
  </si>
  <si>
    <t xml:space="preserve">COTIZACIÓN 20 PAX </t>
  </si>
  <si>
    <t>TOUR</t>
  </si>
  <si>
    <t xml:space="preserve">Transporte </t>
  </si>
  <si>
    <t>Almuerzo</t>
  </si>
  <si>
    <t>Barco</t>
  </si>
  <si>
    <t>Hidratación</t>
  </si>
  <si>
    <t xml:space="preserve">Entradas </t>
  </si>
  <si>
    <t>CHIVA</t>
  </si>
  <si>
    <t>GUIA</t>
  </si>
  <si>
    <t>HIDRATACION</t>
  </si>
  <si>
    <t>ALIMENTACIÓN</t>
  </si>
  <si>
    <t>BARCO Y ENTRADAS</t>
  </si>
  <si>
    <t>HELADOS</t>
  </si>
  <si>
    <t>CITY TOUR REGULAR</t>
  </si>
  <si>
    <t>CONJUNTO VALLENATO</t>
  </si>
  <si>
    <t xml:space="preserve">FRITOS </t>
  </si>
  <si>
    <t>Almuerzos</t>
  </si>
  <si>
    <t xml:space="preserve">MINA </t>
  </si>
  <si>
    <t xml:space="preserve">BOGOTA </t>
  </si>
  <si>
    <t>FULL</t>
  </si>
  <si>
    <r>
      <t xml:space="preserve">ISLAS DEL ROSARIO </t>
    </r>
    <r>
      <rPr>
        <sz val="10"/>
        <rFont val="Calibri"/>
        <family val="2"/>
        <scheme val="minor"/>
      </rPr>
      <t>BORA BORA</t>
    </r>
    <r>
      <rPr>
        <sz val="14"/>
        <rFont val="Calibri"/>
        <family val="2"/>
        <scheme val="minor"/>
      </rPr>
      <t xml:space="preserve"> VIP</t>
    </r>
  </si>
  <si>
    <t xml:space="preserve">PLAZA DE MERCADO PALOQUEMAO Y COMPRAS  </t>
  </si>
  <si>
    <t xml:space="preserve">CITY </t>
  </si>
  <si>
    <t>ZIPAQUIRA</t>
  </si>
  <si>
    <t>ENTRADAS (MUSEOORO/CATEDRAL)</t>
  </si>
  <si>
    <t>STAFF</t>
  </si>
  <si>
    <t>SUBTOTAL</t>
  </si>
  <si>
    <t>TOTAL</t>
  </si>
  <si>
    <t>GUATAPE</t>
  </si>
  <si>
    <t>ENTRADAS (Metro/MetroCable - helados)</t>
  </si>
  <si>
    <t>Abono de 500</t>
  </si>
  <si>
    <t>GASTOS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</si>
</sst>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  <numFmt numFmtId="164" formatCode="&quot;$&quot;\ #,##0"/>
  </numFmts>
  <fonts count="28" x14ac:knownFonts="1">
    <font>
      <sz val="11"/>
      <color theme="1"/>
      <name val="Calibri"/>
      <family val="2"/>
      <scheme val="minor"/>
    </font>
    <font>
      <b/>
      <i/>
      <sz val="16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16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color rgb="FF0070C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i/>
      <sz val="16"/>
      <name val="Calibri"/>
      <family val="2"/>
      <scheme val="minor"/>
    </font>
    <font>
      <sz val="14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Bahnschrift"/>
      <family val="2"/>
    </font>
    <font>
      <sz val="16"/>
      <color rgb="FF0070C0"/>
      <name val="Calibri"/>
      <family val="2"/>
      <scheme val="minor"/>
    </font>
    <font>
      <sz val="14"/>
      <color theme="4" tint="-0.499984740745262"/>
      <name val="Calibri"/>
      <family val="2"/>
      <scheme val="minor"/>
    </font>
    <font>
      <sz val="10"/>
      <color theme="4" tint="-0.499984740745262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79998168889431442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2" fillId="0" borderId="0" applyFont="0" applyFill="0" applyBorder="0" applyAlignment="0" applyProtection="0"/>
  </cellStyleXfs>
  <cellXfs count="220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2" fillId="0" borderId="0" xfId="0" applyFont="1"/>
    <xf numFmtId="0" fontId="2" fillId="0" borderId="1" xfId="0" applyFont="1" applyBorder="1"/>
    <xf numFmtId="164" fontId="2" fillId="0" borderId="1" xfId="0" applyNumberFormat="1" applyFont="1" applyBorder="1"/>
    <xf numFmtId="0" fontId="0" fillId="0" borderId="1" xfId="0" applyBorder="1"/>
    <xf numFmtId="164" fontId="2" fillId="0" borderId="2" xfId="0" applyNumberFormat="1" applyFont="1" applyBorder="1"/>
    <xf numFmtId="0" fontId="3" fillId="0" borderId="1" xfId="0" applyFont="1" applyBorder="1"/>
    <xf numFmtId="0" fontId="2" fillId="0" borderId="2" xfId="0" applyFont="1" applyBorder="1"/>
    <xf numFmtId="164" fontId="4" fillId="0" borderId="1" xfId="0" applyNumberFormat="1" applyFont="1" applyBorder="1"/>
    <xf numFmtId="164" fontId="2" fillId="0" borderId="3" xfId="0" applyNumberFormat="1" applyFont="1" applyBorder="1"/>
    <xf numFmtId="164" fontId="5" fillId="0" borderId="4" xfId="0" applyNumberFormat="1" applyFont="1" applyBorder="1"/>
    <xf numFmtId="164" fontId="5" fillId="0" borderId="0" xfId="0" applyNumberFormat="1" applyFont="1"/>
    <xf numFmtId="164" fontId="6" fillId="0" borderId="0" xfId="0" applyNumberFormat="1" applyFont="1"/>
    <xf numFmtId="0" fontId="5" fillId="0" borderId="0" xfId="0" applyFont="1"/>
    <xf numFmtId="164" fontId="2" fillId="2" borderId="0" xfId="0" applyNumberFormat="1" applyFont="1" applyFill="1"/>
    <xf numFmtId="164" fontId="6" fillId="2" borderId="0" xfId="0" applyNumberFormat="1" applyFont="1" applyFill="1"/>
    <xf numFmtId="0" fontId="4" fillId="0" borderId="1" xfId="0" applyFont="1" applyBorder="1"/>
    <xf numFmtId="164" fontId="0" fillId="0" borderId="0" xfId="0" applyNumberFormat="1"/>
    <xf numFmtId="164" fontId="2" fillId="3" borderId="0" xfId="0" applyNumberFormat="1" applyFont="1" applyFill="1"/>
    <xf numFmtId="0" fontId="0" fillId="3" borderId="0" xfId="0" applyFill="1"/>
    <xf numFmtId="0" fontId="2" fillId="3" borderId="0" xfId="0" applyFont="1" applyFill="1"/>
    <xf numFmtId="0" fontId="2" fillId="3" borderId="1" xfId="0" applyFont="1" applyFill="1" applyBorder="1"/>
    <xf numFmtId="164" fontId="2" fillId="3" borderId="1" xfId="0" applyNumberFormat="1" applyFont="1" applyFill="1" applyBorder="1"/>
    <xf numFmtId="0" fontId="0" fillId="3" borderId="1" xfId="0" applyFill="1" applyBorder="1"/>
    <xf numFmtId="164" fontId="4" fillId="3" borderId="1" xfId="0" applyNumberFormat="1" applyFont="1" applyFill="1" applyBorder="1"/>
    <xf numFmtId="0" fontId="1" fillId="3" borderId="1" xfId="0" applyFont="1" applyFill="1" applyBorder="1"/>
    <xf numFmtId="164" fontId="5" fillId="3" borderId="0" xfId="0" applyNumberFormat="1" applyFont="1" applyFill="1"/>
    <xf numFmtId="164" fontId="6" fillId="3" borderId="0" xfId="0" applyNumberFormat="1" applyFont="1" applyFill="1"/>
    <xf numFmtId="0" fontId="3" fillId="0" borderId="0" xfId="0" applyFont="1"/>
    <xf numFmtId="164" fontId="4" fillId="0" borderId="5" xfId="0" applyNumberFormat="1" applyFont="1" applyBorder="1"/>
    <xf numFmtId="0" fontId="9" fillId="0" borderId="8" xfId="0" applyFont="1" applyBorder="1"/>
    <xf numFmtId="164" fontId="4" fillId="0" borderId="8" xfId="0" applyNumberFormat="1" applyFont="1" applyBorder="1"/>
    <xf numFmtId="0" fontId="4" fillId="0" borderId="5" xfId="0" applyFont="1" applyBorder="1"/>
    <xf numFmtId="0" fontId="10" fillId="0" borderId="1" xfId="0" applyFont="1" applyBorder="1"/>
    <xf numFmtId="0" fontId="11" fillId="0" borderId="1" xfId="0" applyFont="1" applyBorder="1"/>
    <xf numFmtId="0" fontId="2" fillId="3" borderId="8" xfId="0" applyFont="1" applyFill="1" applyBorder="1"/>
    <xf numFmtId="164" fontId="2" fillId="3" borderId="8" xfId="0" applyNumberFormat="1" applyFont="1" applyFill="1" applyBorder="1"/>
    <xf numFmtId="0" fontId="0" fillId="3" borderId="8" xfId="0" applyFill="1" applyBorder="1"/>
    <xf numFmtId="0" fontId="4" fillId="3" borderId="1" xfId="0" applyFont="1" applyFill="1" applyBorder="1"/>
    <xf numFmtId="0" fontId="4" fillId="0" borderId="19" xfId="0" applyFont="1" applyBorder="1"/>
    <xf numFmtId="0" fontId="4" fillId="0" borderId="21" xfId="0" applyFont="1" applyBorder="1"/>
    <xf numFmtId="164" fontId="2" fillId="0" borderId="20" xfId="0" applyNumberFormat="1" applyFont="1" applyBorder="1"/>
    <xf numFmtId="164" fontId="2" fillId="0" borderId="23" xfId="0" applyNumberFormat="1" applyFont="1" applyBorder="1"/>
    <xf numFmtId="164" fontId="0" fillId="0" borderId="2" xfId="0" applyNumberFormat="1" applyBorder="1"/>
    <xf numFmtId="164" fontId="0" fillId="0" borderId="25" xfId="0" applyNumberFormat="1" applyBorder="1"/>
    <xf numFmtId="164" fontId="0" fillId="0" borderId="27" xfId="0" applyNumberFormat="1" applyBorder="1"/>
    <xf numFmtId="0" fontId="0" fillId="0" borderId="21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16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0" xfId="0" applyBorder="1"/>
    <xf numFmtId="0" fontId="17" fillId="0" borderId="7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4" fillId="0" borderId="29" xfId="0" applyFont="1" applyBorder="1"/>
    <xf numFmtId="0" fontId="4" fillId="0" borderId="29" xfId="0" applyFont="1" applyBorder="1" applyAlignment="1">
      <alignment wrapText="1"/>
    </xf>
    <xf numFmtId="0" fontId="0" fillId="0" borderId="31" xfId="0" applyBorder="1" applyAlignment="1">
      <alignment horizontal="center" vertical="center" wrapText="1"/>
    </xf>
    <xf numFmtId="0" fontId="2" fillId="0" borderId="26" xfId="0" applyFont="1" applyBorder="1"/>
    <xf numFmtId="0" fontId="4" fillId="0" borderId="0" xfId="0" applyFont="1"/>
    <xf numFmtId="164" fontId="2" fillId="0" borderId="32" xfId="0" applyNumberFormat="1" applyFont="1" applyBorder="1"/>
    <xf numFmtId="164" fontId="2" fillId="0" borderId="33" xfId="0" applyNumberFormat="1" applyFont="1" applyBorder="1"/>
    <xf numFmtId="0" fontId="2" fillId="0" borderId="32" xfId="0" applyFont="1" applyBorder="1"/>
    <xf numFmtId="0" fontId="19" fillId="0" borderId="1" xfId="0" applyFont="1" applyBorder="1"/>
    <xf numFmtId="164" fontId="19" fillId="0" borderId="1" xfId="0" applyNumberFormat="1" applyFont="1" applyBorder="1"/>
    <xf numFmtId="0" fontId="14" fillId="0" borderId="1" xfId="0" applyFont="1" applyBorder="1"/>
    <xf numFmtId="0" fontId="1" fillId="4" borderId="0" xfId="0" applyFont="1" applyFill="1"/>
    <xf numFmtId="164" fontId="2" fillId="4" borderId="0" xfId="0" applyNumberFormat="1" applyFont="1" applyFill="1"/>
    <xf numFmtId="0" fontId="0" fillId="4" borderId="0" xfId="0" applyFill="1"/>
    <xf numFmtId="0" fontId="2" fillId="4" borderId="0" xfId="0" applyFont="1" applyFill="1"/>
    <xf numFmtId="164" fontId="0" fillId="4" borderId="0" xfId="0" applyNumberFormat="1" applyFill="1"/>
    <xf numFmtId="0" fontId="2" fillId="4" borderId="1" xfId="0" applyFont="1" applyFill="1" applyBorder="1"/>
    <xf numFmtId="164" fontId="2" fillId="4" borderId="1" xfId="0" applyNumberFormat="1" applyFont="1" applyFill="1" applyBorder="1"/>
    <xf numFmtId="0" fontId="0" fillId="4" borderId="1" xfId="0" applyFill="1" applyBorder="1"/>
    <xf numFmtId="0" fontId="3" fillId="4" borderId="1" xfId="0" applyFont="1" applyFill="1" applyBorder="1"/>
    <xf numFmtId="164" fontId="2" fillId="4" borderId="3" xfId="0" applyNumberFormat="1" applyFont="1" applyFill="1" applyBorder="1"/>
    <xf numFmtId="164" fontId="5" fillId="4" borderId="4" xfId="0" applyNumberFormat="1" applyFont="1" applyFill="1" applyBorder="1"/>
    <xf numFmtId="164" fontId="6" fillId="4" borderId="0" xfId="0" applyNumberFormat="1" applyFont="1" applyFill="1"/>
    <xf numFmtId="164" fontId="2" fillId="0" borderId="30" xfId="0" applyNumberFormat="1" applyFont="1" applyBorder="1"/>
    <xf numFmtId="0" fontId="2" fillId="0" borderId="7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164" fontId="2" fillId="0" borderId="35" xfId="0" applyNumberFormat="1" applyFont="1" applyBorder="1"/>
    <xf numFmtId="164" fontId="7" fillId="0" borderId="34" xfId="0" applyNumberFormat="1" applyFont="1" applyBorder="1"/>
    <xf numFmtId="0" fontId="4" fillId="0" borderId="7" xfId="0" applyFont="1" applyBorder="1"/>
    <xf numFmtId="0" fontId="0" fillId="0" borderId="0" xfId="0" applyAlignment="1">
      <alignment horizontal="right"/>
    </xf>
    <xf numFmtId="0" fontId="20" fillId="0" borderId="5" xfId="0" applyFont="1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2" fillId="0" borderId="36" xfId="0" applyFont="1" applyBorder="1"/>
    <xf numFmtId="0" fontId="2" fillId="0" borderId="8" xfId="0" applyFont="1" applyBorder="1"/>
    <xf numFmtId="0" fontId="19" fillId="0" borderId="0" xfId="0" applyFont="1"/>
    <xf numFmtId="0" fontId="2" fillId="0" borderId="9" xfId="0" applyFont="1" applyBorder="1"/>
    <xf numFmtId="0" fontId="21" fillId="0" borderId="1" xfId="0" applyFont="1" applyBorder="1"/>
    <xf numFmtId="0" fontId="7" fillId="0" borderId="13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4" fillId="0" borderId="16" xfId="0" applyFont="1" applyBorder="1"/>
    <xf numFmtId="164" fontId="2" fillId="0" borderId="17" xfId="0" applyNumberFormat="1" applyFont="1" applyBorder="1"/>
    <xf numFmtId="164" fontId="2" fillId="0" borderId="18" xfId="0" applyNumberFormat="1" applyFont="1" applyBorder="1"/>
    <xf numFmtId="164" fontId="2" fillId="0" borderId="22" xfId="0" applyNumberFormat="1" applyFont="1" applyBorder="1"/>
    <xf numFmtId="0" fontId="23" fillId="0" borderId="19" xfId="0" applyFont="1" applyBorder="1"/>
    <xf numFmtId="42" fontId="7" fillId="0" borderId="20" xfId="1" applyNumberFormat="1" applyFont="1" applyBorder="1"/>
    <xf numFmtId="0" fontId="23" fillId="0" borderId="29" xfId="0" applyFont="1" applyBorder="1"/>
    <xf numFmtId="42" fontId="7" fillId="0" borderId="30" xfId="1" applyNumberFormat="1" applyFont="1" applyBorder="1"/>
    <xf numFmtId="0" fontId="20" fillId="0" borderId="7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42" fontId="7" fillId="0" borderId="0" xfId="0" applyNumberFormat="1" applyFont="1"/>
    <xf numFmtId="0" fontId="5" fillId="0" borderId="0" xfId="0" applyFont="1" applyAlignment="1">
      <alignment horizontal="center"/>
    </xf>
    <xf numFmtId="0" fontId="0" fillId="7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4" fillId="0" borderId="37" xfId="0" applyFont="1" applyBorder="1"/>
    <xf numFmtId="0" fontId="2" fillId="0" borderId="37" xfId="0" applyFont="1" applyBorder="1"/>
    <xf numFmtId="0" fontId="8" fillId="0" borderId="0" xfId="0" applyFont="1"/>
    <xf numFmtId="0" fontId="0" fillId="0" borderId="9" xfId="0" applyBorder="1" applyAlignment="1">
      <alignment horizontal="center" vertical="center"/>
    </xf>
    <xf numFmtId="164" fontId="4" fillId="0" borderId="18" xfId="0" applyNumberFormat="1" applyFont="1" applyBorder="1"/>
    <xf numFmtId="0" fontId="10" fillId="0" borderId="19" xfId="0" applyFont="1" applyBorder="1"/>
    <xf numFmtId="164" fontId="4" fillId="0" borderId="20" xfId="0" applyNumberFormat="1" applyFont="1" applyBorder="1"/>
    <xf numFmtId="0" fontId="11" fillId="0" borderId="19" xfId="0" applyFont="1" applyBorder="1"/>
    <xf numFmtId="0" fontId="11" fillId="0" borderId="21" xfId="0" applyFont="1" applyBorder="1"/>
    <xf numFmtId="164" fontId="4" fillId="0" borderId="23" xfId="0" applyNumberFormat="1" applyFont="1" applyBorder="1"/>
    <xf numFmtId="0" fontId="4" fillId="0" borderId="38" xfId="0" applyFont="1" applyBorder="1"/>
    <xf numFmtId="0" fontId="10" fillId="0" borderId="39" xfId="0" applyFont="1" applyBorder="1"/>
    <xf numFmtId="0" fontId="11" fillId="0" borderId="39" xfId="0" applyFont="1" applyBorder="1"/>
    <xf numFmtId="0" fontId="4" fillId="0" borderId="40" xfId="0" applyFont="1" applyBorder="1"/>
    <xf numFmtId="164" fontId="2" fillId="0" borderId="41" xfId="0" applyNumberFormat="1" applyFont="1" applyBorder="1"/>
    <xf numFmtId="164" fontId="2" fillId="0" borderId="42" xfId="0" applyNumberFormat="1" applyFont="1" applyBorder="1"/>
    <xf numFmtId="164" fontId="2" fillId="0" borderId="43" xfId="0" applyNumberFormat="1" applyFont="1" applyBorder="1"/>
    <xf numFmtId="164" fontId="4" fillId="0" borderId="26" xfId="0" applyNumberFormat="1" applyFont="1" applyBorder="1"/>
    <xf numFmtId="164" fontId="4" fillId="0" borderId="27" xfId="0" applyNumberFormat="1" applyFont="1" applyBorder="1"/>
    <xf numFmtId="164" fontId="4" fillId="0" borderId="28" xfId="0" applyNumberFormat="1" applyFont="1" applyBorder="1"/>
    <xf numFmtId="0" fontId="4" fillId="0" borderId="44" xfId="0" applyFont="1" applyBorder="1"/>
    <xf numFmtId="0" fontId="4" fillId="0" borderId="45" xfId="0" applyFont="1" applyBorder="1"/>
    <xf numFmtId="0" fontId="0" fillId="11" borderId="0" xfId="0" applyFill="1"/>
    <xf numFmtId="164" fontId="0" fillId="11" borderId="0" xfId="0" applyNumberFormat="1" applyFill="1"/>
    <xf numFmtId="164" fontId="4" fillId="0" borderId="0" xfId="0" applyNumberFormat="1" applyFont="1"/>
    <xf numFmtId="0" fontId="11" fillId="0" borderId="0" xfId="0" applyFont="1"/>
    <xf numFmtId="0" fontId="11" fillId="0" borderId="46" xfId="0" applyFont="1" applyBorder="1"/>
    <xf numFmtId="164" fontId="4" fillId="0" borderId="47" xfId="0" applyNumberFormat="1" applyFont="1" applyBorder="1"/>
    <xf numFmtId="0" fontId="25" fillId="0" borderId="19" xfId="0" applyFont="1" applyBorder="1"/>
    <xf numFmtId="0" fontId="23" fillId="0" borderId="48" xfId="0" applyFont="1" applyBorder="1"/>
    <xf numFmtId="42" fontId="7" fillId="0" borderId="35" xfId="1" applyNumberFormat="1" applyFont="1" applyBorder="1"/>
    <xf numFmtId="0" fontId="23" fillId="0" borderId="46" xfId="0" applyFont="1" applyBorder="1"/>
    <xf numFmtId="42" fontId="7" fillId="0" borderId="47" xfId="1" applyNumberFormat="1" applyFont="1" applyFill="1" applyBorder="1"/>
    <xf numFmtId="0" fontId="1" fillId="7" borderId="0" xfId="0" applyFont="1" applyFill="1"/>
    <xf numFmtId="164" fontId="2" fillId="7" borderId="0" xfId="0" applyNumberFormat="1" applyFont="1" applyFill="1"/>
    <xf numFmtId="0" fontId="0" fillId="7" borderId="0" xfId="0" applyFill="1"/>
    <xf numFmtId="0" fontId="2" fillId="7" borderId="0" xfId="0" applyFont="1" applyFill="1"/>
    <xf numFmtId="0" fontId="2" fillId="7" borderId="1" xfId="0" applyFont="1" applyFill="1" applyBorder="1"/>
    <xf numFmtId="164" fontId="2" fillId="7" borderId="1" xfId="0" applyNumberFormat="1" applyFont="1" applyFill="1" applyBorder="1"/>
    <xf numFmtId="0" fontId="0" fillId="7" borderId="1" xfId="0" applyFill="1" applyBorder="1"/>
    <xf numFmtId="0" fontId="4" fillId="7" borderId="1" xfId="0" applyFont="1" applyFill="1" applyBorder="1"/>
    <xf numFmtId="164" fontId="2" fillId="7" borderId="3" xfId="0" applyNumberFormat="1" applyFont="1" applyFill="1" applyBorder="1"/>
    <xf numFmtId="164" fontId="5" fillId="7" borderId="4" xfId="0" applyNumberFormat="1" applyFont="1" applyFill="1" applyBorder="1"/>
    <xf numFmtId="164" fontId="6" fillId="7" borderId="0" xfId="0" applyNumberFormat="1" applyFont="1" applyFill="1"/>
    <xf numFmtId="0" fontId="25" fillId="0" borderId="49" xfId="0" applyFont="1" applyBorder="1"/>
    <xf numFmtId="164" fontId="4" fillId="0" borderId="50" xfId="0" applyNumberFormat="1" applyFont="1" applyBorder="1"/>
    <xf numFmtId="164" fontId="2" fillId="12" borderId="0" xfId="0" applyNumberFormat="1" applyFont="1" applyFill="1"/>
    <xf numFmtId="164" fontId="2" fillId="13" borderId="0" xfId="0" applyNumberFormat="1" applyFont="1" applyFill="1"/>
    <xf numFmtId="164" fontId="2" fillId="14" borderId="0" xfId="0" applyNumberFormat="1" applyFont="1" applyFill="1"/>
    <xf numFmtId="164" fontId="2" fillId="15" borderId="0" xfId="0" applyNumberFormat="1" applyFont="1" applyFill="1"/>
    <xf numFmtId="164" fontId="2" fillId="16" borderId="0" xfId="0" applyNumberFormat="1" applyFont="1" applyFill="1"/>
    <xf numFmtId="0" fontId="2" fillId="13" borderId="0" xfId="0" applyFont="1" applyFill="1"/>
    <xf numFmtId="0" fontId="2" fillId="16" borderId="0" xfId="0" applyFont="1" applyFill="1"/>
    <xf numFmtId="0" fontId="2" fillId="14" borderId="0" xfId="0" applyFont="1" applyFill="1"/>
    <xf numFmtId="0" fontId="2" fillId="12" borderId="0" xfId="0" applyFont="1" applyFill="1"/>
    <xf numFmtId="0" fontId="2" fillId="15" borderId="0" xfId="0" applyFont="1" applyFill="1"/>
    <xf numFmtId="164" fontId="2" fillId="17" borderId="0" xfId="0" applyNumberFormat="1" applyFont="1" applyFill="1"/>
    <xf numFmtId="0" fontId="4" fillId="0" borderId="8" xfId="0" applyFont="1" applyBorder="1"/>
    <xf numFmtId="0" fontId="7" fillId="0" borderId="0" xfId="0" applyFont="1"/>
    <xf numFmtId="0" fontId="1" fillId="18" borderId="0" xfId="0" applyFont="1" applyFill="1"/>
    <xf numFmtId="164" fontId="2" fillId="18" borderId="0" xfId="0" applyNumberFormat="1" applyFont="1" applyFill="1"/>
    <xf numFmtId="0" fontId="0" fillId="18" borderId="0" xfId="0" applyFill="1"/>
    <xf numFmtId="0" fontId="2" fillId="18" borderId="0" xfId="0" applyFont="1" applyFill="1"/>
    <xf numFmtId="0" fontId="2" fillId="18" borderId="1" xfId="0" applyFont="1" applyFill="1" applyBorder="1"/>
    <xf numFmtId="164" fontId="2" fillId="18" borderId="1" xfId="0" applyNumberFormat="1" applyFont="1" applyFill="1" applyBorder="1"/>
    <xf numFmtId="0" fontId="0" fillId="18" borderId="1" xfId="0" applyFill="1" applyBorder="1"/>
    <xf numFmtId="0" fontId="4" fillId="18" borderId="1" xfId="0" applyFont="1" applyFill="1" applyBorder="1"/>
    <xf numFmtId="164" fontId="2" fillId="18" borderId="3" xfId="0" applyNumberFormat="1" applyFont="1" applyFill="1" applyBorder="1"/>
    <xf numFmtId="164" fontId="5" fillId="18" borderId="4" xfId="0" applyNumberFormat="1" applyFont="1" applyFill="1" applyBorder="1"/>
    <xf numFmtId="164" fontId="6" fillId="18" borderId="0" xfId="0" applyNumberFormat="1" applyFont="1" applyFill="1"/>
    <xf numFmtId="0" fontId="16" fillId="0" borderId="5" xfId="0" applyFont="1" applyBorder="1" applyAlignment="1">
      <alignment horizontal="center"/>
    </xf>
    <xf numFmtId="164" fontId="5" fillId="4" borderId="0" xfId="0" applyNumberFormat="1" applyFont="1" applyFill="1"/>
    <xf numFmtId="164" fontId="0" fillId="2" borderId="0" xfId="0" applyNumberFormat="1" applyFill="1"/>
    <xf numFmtId="164" fontId="0" fillId="10" borderId="0" xfId="0" applyNumberFormat="1" applyFill="1"/>
    <xf numFmtId="0" fontId="8" fillId="0" borderId="7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2" fillId="0" borderId="27" xfId="0" applyFont="1" applyBorder="1" applyAlignment="1">
      <alignment horizontal="right" wrapText="1"/>
    </xf>
    <xf numFmtId="0" fontId="2" fillId="0" borderId="28" xfId="0" applyFont="1" applyBorder="1" applyAlignment="1">
      <alignment horizontal="right" wrapText="1"/>
    </xf>
    <xf numFmtId="0" fontId="2" fillId="5" borderId="0" xfId="0" applyFont="1" applyFill="1" applyAlignment="1">
      <alignment horizontal="center"/>
    </xf>
    <xf numFmtId="0" fontId="16" fillId="0" borderId="13" xfId="0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0" fillId="0" borderId="0" xfId="0" applyAlignment="1">
      <alignment horizontal="center"/>
    </xf>
    <xf numFmtId="0" fontId="16" fillId="13" borderId="0" xfId="0" applyFont="1" applyFill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7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4" fillId="6" borderId="0" xfId="0" applyFont="1" applyFill="1" applyAlignment="1">
      <alignment horizontal="center"/>
    </xf>
    <xf numFmtId="0" fontId="0" fillId="7" borderId="1" xfId="0" applyFill="1" applyBorder="1" applyAlignment="1">
      <alignment horizontal="center"/>
    </xf>
    <xf numFmtId="0" fontId="7" fillId="9" borderId="13" xfId="0" applyFont="1" applyFill="1" applyBorder="1" applyAlignment="1">
      <alignment horizontal="center"/>
    </xf>
    <xf numFmtId="0" fontId="7" fillId="9" borderId="14" xfId="0" applyFont="1" applyFill="1" applyBorder="1" applyAlignment="1">
      <alignment horizontal="center"/>
    </xf>
    <xf numFmtId="0" fontId="7" fillId="9" borderId="15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16515-694F-4059-8622-1B132172299F}">
  <dimension ref="B2:E60"/>
  <sheetViews>
    <sheetView workbookViewId="0">
      <selection activeCell="H43" sqref="H43"/>
    </sheetView>
  </sheetViews>
  <sheetFormatPr baseColWidth="10" defaultRowHeight="14.4" x14ac:dyDescent="0.3"/>
  <cols>
    <col min="2" max="2" width="36.44140625" bestFit="1" customWidth="1"/>
    <col min="3" max="3" width="13.6640625" bestFit="1" customWidth="1"/>
    <col min="5" max="5" width="13.88671875" bestFit="1" customWidth="1"/>
  </cols>
  <sheetData>
    <row r="2" spans="2:5" ht="21" x14ac:dyDescent="0.4">
      <c r="B2" s="1" t="s">
        <v>0</v>
      </c>
      <c r="C2" s="2"/>
      <c r="E2" s="3"/>
    </row>
    <row r="3" spans="2:5" ht="21" x14ac:dyDescent="0.4">
      <c r="B3" s="3"/>
      <c r="C3" s="2"/>
      <c r="E3" s="3" t="s">
        <v>1</v>
      </c>
    </row>
    <row r="4" spans="2:5" ht="21" x14ac:dyDescent="0.4">
      <c r="B4" s="4" t="s">
        <v>1</v>
      </c>
      <c r="C4" s="5">
        <v>850000</v>
      </c>
      <c r="D4" s="6"/>
      <c r="E4" s="7">
        <f>C4/9</f>
        <v>94444.444444444438</v>
      </c>
    </row>
    <row r="5" spans="2:5" ht="21" x14ac:dyDescent="0.4">
      <c r="B5" s="4" t="s">
        <v>2</v>
      </c>
      <c r="C5" s="5">
        <v>200000</v>
      </c>
      <c r="D5" s="6"/>
      <c r="E5" s="7">
        <f>C5/9</f>
        <v>22222.222222222223</v>
      </c>
    </row>
    <row r="6" spans="2:5" ht="21" x14ac:dyDescent="0.4">
      <c r="B6" s="4" t="s">
        <v>3</v>
      </c>
      <c r="C6" s="10">
        <v>15000</v>
      </c>
      <c r="D6" s="6"/>
      <c r="E6" s="7">
        <f>C6</f>
        <v>15000</v>
      </c>
    </row>
    <row r="7" spans="2:5" ht="21" x14ac:dyDescent="0.4">
      <c r="B7" s="4" t="s">
        <v>4</v>
      </c>
      <c r="C7" s="5">
        <v>40000</v>
      </c>
      <c r="D7" s="6"/>
      <c r="E7" s="7">
        <f>C7</f>
        <v>40000</v>
      </c>
    </row>
    <row r="8" spans="2:5" ht="21" x14ac:dyDescent="0.4">
      <c r="B8" s="4" t="s">
        <v>5</v>
      </c>
      <c r="C8" s="5">
        <v>20000</v>
      </c>
      <c r="D8" s="6"/>
      <c r="E8" s="7">
        <f>C8</f>
        <v>20000</v>
      </c>
    </row>
    <row r="9" spans="2:5" ht="21" x14ac:dyDescent="0.4">
      <c r="B9" s="3" t="s">
        <v>6</v>
      </c>
      <c r="C9" s="2"/>
      <c r="E9" s="11">
        <f>E10*5%</f>
        <v>9583.3333333333339</v>
      </c>
    </row>
    <row r="10" spans="2:5" ht="21.6" thickBot="1" x14ac:dyDescent="0.45">
      <c r="B10" s="3" t="s">
        <v>7</v>
      </c>
      <c r="C10" s="2"/>
      <c r="E10" s="12">
        <f>E4+E5+E6+E7+E8</f>
        <v>191666.66666666666</v>
      </c>
    </row>
    <row r="11" spans="2:5" ht="21.6" thickTop="1" x14ac:dyDescent="0.4">
      <c r="B11" s="3" t="s">
        <v>8</v>
      </c>
      <c r="C11" s="2"/>
      <c r="E11" s="14">
        <f>E10+E9</f>
        <v>201250</v>
      </c>
    </row>
    <row r="12" spans="2:5" ht="21" x14ac:dyDescent="0.4">
      <c r="B12" s="3" t="s">
        <v>9</v>
      </c>
      <c r="C12" s="2"/>
      <c r="E12" s="14">
        <f>E11/3500</f>
        <v>57.5</v>
      </c>
    </row>
    <row r="13" spans="2:5" ht="21" x14ac:dyDescent="0.4">
      <c r="B13" s="3"/>
      <c r="C13" s="2"/>
      <c r="E13" s="3"/>
    </row>
    <row r="15" spans="2:5" ht="21" x14ac:dyDescent="0.4">
      <c r="B15" s="15" t="s">
        <v>10</v>
      </c>
      <c r="C15" s="16">
        <v>60</v>
      </c>
      <c r="D15">
        <v>0</v>
      </c>
      <c r="E15" s="2"/>
    </row>
    <row r="16" spans="2:5" ht="21" x14ac:dyDescent="0.4">
      <c r="B16" s="3"/>
      <c r="C16" s="2"/>
      <c r="E16" s="3" t="s">
        <v>1</v>
      </c>
    </row>
    <row r="17" spans="2:5" ht="21" x14ac:dyDescent="0.4">
      <c r="B17" s="4" t="s">
        <v>1</v>
      </c>
      <c r="C17" s="5">
        <f>370000*2</f>
        <v>740000</v>
      </c>
      <c r="E17" s="5">
        <f>C17/9</f>
        <v>82222.222222222219</v>
      </c>
    </row>
    <row r="18" spans="2:5" ht="21" x14ac:dyDescent="0.4">
      <c r="B18" s="4" t="s">
        <v>5</v>
      </c>
      <c r="C18" s="5">
        <v>10000</v>
      </c>
      <c r="E18" s="5">
        <f>C18</f>
        <v>10000</v>
      </c>
    </row>
    <row r="19" spans="2:5" ht="21" x14ac:dyDescent="0.4">
      <c r="B19" s="4" t="s">
        <v>2</v>
      </c>
      <c r="C19" s="5">
        <v>150000</v>
      </c>
      <c r="E19" s="5">
        <f>C19/9</f>
        <v>16666.666666666668</v>
      </c>
    </row>
    <row r="20" spans="2:5" ht="21" x14ac:dyDescent="0.4">
      <c r="B20" s="3" t="s">
        <v>6</v>
      </c>
      <c r="C20" s="2"/>
      <c r="E20" s="11">
        <f>E21*10%</f>
        <v>10888.888888888891</v>
      </c>
    </row>
    <row r="21" spans="2:5" ht="21.6" thickBot="1" x14ac:dyDescent="0.45">
      <c r="B21" s="3" t="s">
        <v>7</v>
      </c>
      <c r="C21" s="2"/>
      <c r="E21" s="12">
        <f>E17+E18+E19</f>
        <v>108888.88888888889</v>
      </c>
    </row>
    <row r="22" spans="2:5" ht="21.6" thickTop="1" x14ac:dyDescent="0.4">
      <c r="B22" s="3" t="s">
        <v>8</v>
      </c>
      <c r="C22" s="2"/>
      <c r="E22" s="14">
        <f>E21+E20</f>
        <v>119777.77777777778</v>
      </c>
    </row>
    <row r="23" spans="2:5" ht="21" x14ac:dyDescent="0.4">
      <c r="B23" s="3" t="s">
        <v>9</v>
      </c>
      <c r="C23" s="2"/>
      <c r="E23" s="17">
        <f>E22/3500</f>
        <v>34.222222222222221</v>
      </c>
    </row>
    <row r="29" spans="2:5" ht="21" x14ac:dyDescent="0.4">
      <c r="B29" s="1" t="s">
        <v>11</v>
      </c>
      <c r="C29" s="2">
        <v>70</v>
      </c>
      <c r="E29" s="2"/>
    </row>
    <row r="30" spans="2:5" ht="21" x14ac:dyDescent="0.4">
      <c r="B30" s="3"/>
      <c r="C30" s="2"/>
      <c r="E30" s="3" t="s">
        <v>1</v>
      </c>
    </row>
    <row r="31" spans="2:5" ht="21" x14ac:dyDescent="0.4">
      <c r="B31" s="4" t="s">
        <v>1</v>
      </c>
      <c r="C31" s="5">
        <v>670000</v>
      </c>
      <c r="D31" s="6"/>
      <c r="E31" s="5">
        <f>C31/9</f>
        <v>74444.444444444438</v>
      </c>
    </row>
    <row r="32" spans="2:5" ht="21" x14ac:dyDescent="0.4">
      <c r="B32" s="4" t="s">
        <v>2</v>
      </c>
      <c r="C32" s="5">
        <v>200000</v>
      </c>
      <c r="D32" s="6"/>
      <c r="E32" s="5">
        <f>C32/9</f>
        <v>22222.222222222223</v>
      </c>
    </row>
    <row r="33" spans="2:5" ht="21" x14ac:dyDescent="0.4">
      <c r="B33" s="18" t="s">
        <v>12</v>
      </c>
      <c r="C33" s="5">
        <v>10000</v>
      </c>
      <c r="D33" s="6"/>
      <c r="E33" s="5">
        <f>C33</f>
        <v>10000</v>
      </c>
    </row>
    <row r="34" spans="2:5" ht="21" x14ac:dyDescent="0.4">
      <c r="B34" s="4" t="s">
        <v>22</v>
      </c>
      <c r="C34" s="5">
        <v>0</v>
      </c>
      <c r="D34" s="6"/>
      <c r="E34" s="5">
        <f>C34</f>
        <v>0</v>
      </c>
    </row>
    <row r="35" spans="2:5" ht="21" x14ac:dyDescent="0.4">
      <c r="B35" s="4" t="s">
        <v>5</v>
      </c>
      <c r="C35" s="5">
        <v>25000</v>
      </c>
      <c r="D35" s="6"/>
      <c r="E35" s="5">
        <f>C35</f>
        <v>25000</v>
      </c>
    </row>
    <row r="36" spans="2:5" ht="21" x14ac:dyDescent="0.4">
      <c r="B36" s="3" t="s">
        <v>6</v>
      </c>
      <c r="C36" s="2"/>
      <c r="E36" s="11">
        <f>E37*15%</f>
        <v>19749.999999999996</v>
      </c>
    </row>
    <row r="37" spans="2:5" ht="21.6" thickBot="1" x14ac:dyDescent="0.45">
      <c r="B37" s="3" t="s">
        <v>7</v>
      </c>
      <c r="C37" s="2"/>
      <c r="E37" s="12">
        <f>E31+E32+E35+E33</f>
        <v>131666.66666666666</v>
      </c>
    </row>
    <row r="38" spans="2:5" ht="21.6" thickTop="1" x14ac:dyDescent="0.4">
      <c r="B38" s="3" t="s">
        <v>8</v>
      </c>
      <c r="C38" s="2"/>
      <c r="E38" s="14">
        <f>E37+E36</f>
        <v>151416.66666666666</v>
      </c>
    </row>
    <row r="39" spans="2:5" ht="21" x14ac:dyDescent="0.4">
      <c r="B39" s="3" t="s">
        <v>9</v>
      </c>
      <c r="C39" s="2"/>
      <c r="E39" s="14">
        <f>E38/3500</f>
        <v>43.261904761904759</v>
      </c>
    </row>
    <row r="42" spans="2:5" ht="21" x14ac:dyDescent="0.4">
      <c r="B42" s="1" t="s">
        <v>21</v>
      </c>
      <c r="C42" s="2">
        <v>70</v>
      </c>
      <c r="E42" s="2"/>
    </row>
    <row r="43" spans="2:5" ht="21" x14ac:dyDescent="0.4">
      <c r="B43" s="3"/>
      <c r="C43" s="2"/>
      <c r="E43" s="3" t="s">
        <v>1</v>
      </c>
    </row>
    <row r="44" spans="2:5" ht="21" x14ac:dyDescent="0.4">
      <c r="B44" s="4" t="s">
        <v>1</v>
      </c>
      <c r="C44" s="5">
        <v>670000</v>
      </c>
      <c r="D44" s="6"/>
      <c r="E44" s="5">
        <f>C44/9</f>
        <v>74444.444444444438</v>
      </c>
    </row>
    <row r="45" spans="2:5" ht="21" x14ac:dyDescent="0.4">
      <c r="B45" s="4" t="s">
        <v>2</v>
      </c>
      <c r="C45" s="5">
        <v>200000</v>
      </c>
      <c r="D45" s="6"/>
      <c r="E45" s="5">
        <f>C45/9</f>
        <v>22222.222222222223</v>
      </c>
    </row>
    <row r="46" spans="2:5" ht="21" x14ac:dyDescent="0.4">
      <c r="B46" s="4" t="s">
        <v>5</v>
      </c>
      <c r="C46" s="5">
        <v>25000</v>
      </c>
      <c r="D46" s="6"/>
      <c r="E46" s="5">
        <f>C46</f>
        <v>25000</v>
      </c>
    </row>
    <row r="47" spans="2:5" ht="21" x14ac:dyDescent="0.4">
      <c r="B47" s="3" t="s">
        <v>6</v>
      </c>
      <c r="C47" s="2"/>
      <c r="E47" s="11">
        <f>E48*15%</f>
        <v>18249.999999999996</v>
      </c>
    </row>
    <row r="48" spans="2:5" ht="21.6" thickBot="1" x14ac:dyDescent="0.45">
      <c r="B48" s="3" t="s">
        <v>7</v>
      </c>
      <c r="C48" s="2"/>
      <c r="E48" s="12">
        <f>E44+E45+E46</f>
        <v>121666.66666666666</v>
      </c>
    </row>
    <row r="49" spans="2:5" ht="21.6" thickTop="1" x14ac:dyDescent="0.4">
      <c r="B49" s="3" t="s">
        <v>8</v>
      </c>
      <c r="C49" s="2"/>
      <c r="E49" s="14">
        <f>E48+E47</f>
        <v>139916.66666666666</v>
      </c>
    </row>
    <row r="50" spans="2:5" ht="21" x14ac:dyDescent="0.4">
      <c r="B50" s="3" t="s">
        <v>9</v>
      </c>
      <c r="C50" s="2"/>
      <c r="E50" s="14">
        <f>E49/3500</f>
        <v>39.976190476190474</v>
      </c>
    </row>
    <row r="56" spans="2:5" ht="21" x14ac:dyDescent="0.4">
      <c r="B56" s="1" t="s">
        <v>0</v>
      </c>
      <c r="C56" s="3">
        <v>55</v>
      </c>
      <c r="D56" s="30">
        <v>58</v>
      </c>
    </row>
    <row r="57" spans="2:5" ht="21" x14ac:dyDescent="0.4">
      <c r="B57" s="15" t="s">
        <v>10</v>
      </c>
      <c r="C57" s="3">
        <v>30</v>
      </c>
      <c r="D57" s="30">
        <v>34</v>
      </c>
    </row>
    <row r="58" spans="2:5" ht="21" x14ac:dyDescent="0.4">
      <c r="B58" s="1" t="s">
        <v>11</v>
      </c>
      <c r="C58" s="3">
        <v>45</v>
      </c>
      <c r="D58" s="30">
        <v>43</v>
      </c>
    </row>
    <row r="59" spans="2:5" ht="21" x14ac:dyDescent="0.4">
      <c r="B59" s="1" t="s">
        <v>21</v>
      </c>
      <c r="C59" s="3">
        <v>25</v>
      </c>
      <c r="D59" s="30">
        <v>40</v>
      </c>
    </row>
    <row r="60" spans="2:5" ht="21" x14ac:dyDescent="0.4">
      <c r="B60" s="1" t="s">
        <v>23</v>
      </c>
      <c r="C60" s="3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C2FF8-0DDB-4A80-B4A4-2FDA23B923D1}">
  <dimension ref="B3:O105"/>
  <sheetViews>
    <sheetView workbookViewId="0">
      <selection activeCell="G9" sqref="G9:H15"/>
    </sheetView>
  </sheetViews>
  <sheetFormatPr baseColWidth="10" defaultRowHeight="14.4" x14ac:dyDescent="0.3"/>
  <cols>
    <col min="2" max="2" width="36.44140625" bestFit="1" customWidth="1"/>
    <col min="3" max="3" width="13.6640625" bestFit="1" customWidth="1"/>
    <col min="4" max="4" width="9.88671875" customWidth="1"/>
    <col min="5" max="5" width="13.88671875" bestFit="1" customWidth="1"/>
    <col min="7" max="7" width="35" bestFit="1" customWidth="1"/>
    <col min="8" max="8" width="13.6640625" bestFit="1" customWidth="1"/>
    <col min="10" max="10" width="13.88671875" bestFit="1" customWidth="1"/>
    <col min="12" max="12" width="36.44140625" bestFit="1" customWidth="1"/>
    <col min="13" max="13" width="13.6640625" bestFit="1" customWidth="1"/>
    <col min="15" max="15" width="13.88671875" bestFit="1" customWidth="1"/>
  </cols>
  <sheetData>
    <row r="3" spans="2:8" ht="15" thickBot="1" x14ac:dyDescent="0.35"/>
    <row r="4" spans="2:8" ht="21.6" thickBot="1" x14ac:dyDescent="0.45">
      <c r="G4" s="190" t="s">
        <v>25</v>
      </c>
      <c r="H4" s="191"/>
    </row>
    <row r="5" spans="2:8" ht="21" x14ac:dyDescent="0.4">
      <c r="G5" s="34" t="s">
        <v>10</v>
      </c>
      <c r="H5" s="31">
        <v>60</v>
      </c>
    </row>
    <row r="6" spans="2:8" ht="21" x14ac:dyDescent="0.4">
      <c r="G6" s="35" t="s">
        <v>31</v>
      </c>
      <c r="H6" s="10">
        <v>100</v>
      </c>
    </row>
    <row r="7" spans="2:8" ht="21" x14ac:dyDescent="0.4">
      <c r="G7" s="35" t="s">
        <v>11</v>
      </c>
      <c r="H7" s="10">
        <v>80</v>
      </c>
    </row>
    <row r="8" spans="2:8" ht="21.6" thickBot="1" x14ac:dyDescent="0.45">
      <c r="G8" s="32"/>
      <c r="H8" s="33"/>
    </row>
    <row r="9" spans="2:8" ht="21.6" thickBot="1" x14ac:dyDescent="0.45">
      <c r="G9" s="190" t="s">
        <v>24</v>
      </c>
      <c r="H9" s="191"/>
    </row>
    <row r="10" spans="2:8" ht="21" x14ac:dyDescent="0.4">
      <c r="G10" s="34" t="s">
        <v>10</v>
      </c>
      <c r="H10" s="31">
        <v>30</v>
      </c>
    </row>
    <row r="11" spans="2:8" ht="21" x14ac:dyDescent="0.4">
      <c r="G11" s="35" t="s">
        <v>16</v>
      </c>
      <c r="H11" s="10">
        <v>90</v>
      </c>
    </row>
    <row r="12" spans="2:8" ht="21" x14ac:dyDescent="0.4">
      <c r="G12" s="36" t="s">
        <v>34</v>
      </c>
      <c r="H12" s="10">
        <v>140</v>
      </c>
    </row>
    <row r="13" spans="2:8" ht="21" x14ac:dyDescent="0.4">
      <c r="G13" s="36" t="s">
        <v>35</v>
      </c>
      <c r="H13" s="10">
        <v>90</v>
      </c>
    </row>
    <row r="14" spans="2:8" ht="21" x14ac:dyDescent="0.4">
      <c r="G14" s="36" t="s">
        <v>36</v>
      </c>
      <c r="H14" s="10">
        <v>125</v>
      </c>
    </row>
    <row r="15" spans="2:8" ht="21" x14ac:dyDescent="0.4">
      <c r="B15" s="1" t="s">
        <v>0</v>
      </c>
      <c r="C15" s="2">
        <v>100</v>
      </c>
      <c r="E15" s="3"/>
      <c r="F15" s="3"/>
      <c r="G15" s="18" t="s">
        <v>30</v>
      </c>
      <c r="H15" s="10">
        <v>55</v>
      </c>
    </row>
    <row r="16" spans="2:8" ht="21" x14ac:dyDescent="0.4">
      <c r="B16" s="3"/>
      <c r="C16" s="2"/>
      <c r="E16" s="3" t="s">
        <v>1</v>
      </c>
      <c r="F16" s="3"/>
      <c r="G16" s="3"/>
      <c r="H16" s="3"/>
    </row>
    <row r="17" spans="2:8" ht="21" x14ac:dyDescent="0.4">
      <c r="B17" s="4" t="s">
        <v>1</v>
      </c>
      <c r="C17" s="5">
        <v>550000</v>
      </c>
      <c r="D17" s="6"/>
      <c r="E17" s="7">
        <f>C17/3</f>
        <v>183333.33333333334</v>
      </c>
      <c r="F17" s="3"/>
      <c r="G17" s="3"/>
      <c r="H17" s="3"/>
    </row>
    <row r="18" spans="2:8" ht="21" x14ac:dyDescent="0.4">
      <c r="B18" s="4" t="s">
        <v>2</v>
      </c>
      <c r="C18" s="5">
        <v>200000</v>
      </c>
      <c r="D18" s="6"/>
      <c r="E18" s="7">
        <f>C18/3</f>
        <v>66666.666666666672</v>
      </c>
      <c r="F18" s="2"/>
      <c r="G18" s="2"/>
      <c r="H18" s="2"/>
    </row>
    <row r="19" spans="2:8" ht="21" x14ac:dyDescent="0.4">
      <c r="B19" s="8"/>
      <c r="C19" s="5"/>
      <c r="D19" s="6"/>
      <c r="E19" s="9"/>
      <c r="F19" s="3"/>
      <c r="G19" s="3"/>
      <c r="H19" s="3"/>
    </row>
    <row r="20" spans="2:8" ht="21" x14ac:dyDescent="0.4">
      <c r="B20" s="4" t="s">
        <v>3</v>
      </c>
      <c r="C20" s="10">
        <v>15000</v>
      </c>
      <c r="D20" s="6"/>
      <c r="E20" s="7">
        <f>C20</f>
        <v>15000</v>
      </c>
      <c r="F20" s="2"/>
      <c r="G20" s="2"/>
      <c r="H20" s="2"/>
    </row>
    <row r="21" spans="2:8" ht="21" x14ac:dyDescent="0.4">
      <c r="B21" s="4" t="s">
        <v>4</v>
      </c>
      <c r="C21" s="5">
        <v>40000</v>
      </c>
      <c r="D21" s="6"/>
      <c r="E21" s="7">
        <f>C21</f>
        <v>40000</v>
      </c>
      <c r="F21" s="2"/>
      <c r="G21" s="2"/>
      <c r="H21" s="2"/>
    </row>
    <row r="22" spans="2:8" ht="21" x14ac:dyDescent="0.4">
      <c r="B22" s="4" t="s">
        <v>5</v>
      </c>
      <c r="C22" s="5">
        <v>30000</v>
      </c>
      <c r="D22" s="6"/>
      <c r="E22" s="7">
        <f>C22</f>
        <v>30000</v>
      </c>
      <c r="F22" s="2"/>
      <c r="G22" s="2"/>
      <c r="H22" s="2"/>
    </row>
    <row r="23" spans="2:8" ht="21" x14ac:dyDescent="0.4">
      <c r="B23" s="3" t="s">
        <v>6</v>
      </c>
      <c r="C23" s="2"/>
      <c r="E23" s="11">
        <f>E24*5%</f>
        <v>16750</v>
      </c>
      <c r="F23" s="2"/>
      <c r="G23" s="2"/>
      <c r="H23" s="2"/>
    </row>
    <row r="24" spans="2:8" ht="21.6" thickBot="1" x14ac:dyDescent="0.45">
      <c r="B24" s="3" t="s">
        <v>7</v>
      </c>
      <c r="C24" s="2"/>
      <c r="E24" s="12">
        <f>E17+E18+E20+E21+E22</f>
        <v>335000</v>
      </c>
      <c r="F24" s="13"/>
      <c r="G24" s="13"/>
      <c r="H24" s="13"/>
    </row>
    <row r="25" spans="2:8" ht="21.6" thickTop="1" x14ac:dyDescent="0.4">
      <c r="B25" s="3" t="s">
        <v>8</v>
      </c>
      <c r="C25" s="2"/>
      <c r="E25" s="14">
        <f>E24+E23</f>
        <v>351750</v>
      </c>
      <c r="F25" s="14"/>
      <c r="G25" s="14"/>
      <c r="H25" s="14"/>
    </row>
    <row r="26" spans="2:8" ht="21" x14ac:dyDescent="0.4">
      <c r="B26" s="3" t="s">
        <v>9</v>
      </c>
      <c r="C26" s="2"/>
      <c r="E26" s="14">
        <f>E25/3500</f>
        <v>100.5</v>
      </c>
      <c r="F26" s="14"/>
      <c r="G26" s="14"/>
      <c r="H26" s="14"/>
    </row>
    <row r="27" spans="2:8" ht="21" x14ac:dyDescent="0.4">
      <c r="B27" s="3"/>
      <c r="C27" s="2"/>
      <c r="E27" s="3"/>
      <c r="F27" s="3"/>
      <c r="G27" s="3"/>
      <c r="H27" s="3"/>
    </row>
    <row r="29" spans="2:8" ht="21" x14ac:dyDescent="0.4">
      <c r="B29" s="15" t="s">
        <v>37</v>
      </c>
      <c r="C29" s="16">
        <v>60</v>
      </c>
      <c r="D29">
        <v>0</v>
      </c>
      <c r="E29" s="2"/>
    </row>
    <row r="30" spans="2:8" ht="21" x14ac:dyDescent="0.4">
      <c r="B30" s="3"/>
      <c r="C30" s="2"/>
      <c r="E30" s="3" t="s">
        <v>1</v>
      </c>
    </row>
    <row r="31" spans="2:8" ht="21" x14ac:dyDescent="0.4">
      <c r="B31" s="4" t="s">
        <v>1</v>
      </c>
      <c r="C31" s="5">
        <v>400000</v>
      </c>
      <c r="E31" s="5">
        <f>C31/3</f>
        <v>133333.33333333334</v>
      </c>
    </row>
    <row r="32" spans="2:8" ht="21" x14ac:dyDescent="0.4">
      <c r="B32" s="4" t="s">
        <v>5</v>
      </c>
      <c r="C32" s="5">
        <v>10000</v>
      </c>
      <c r="E32" s="5">
        <f>C32</f>
        <v>10000</v>
      </c>
    </row>
    <row r="33" spans="2:5" ht="21" x14ac:dyDescent="0.4">
      <c r="B33" s="4" t="s">
        <v>2</v>
      </c>
      <c r="C33" s="5">
        <v>50000</v>
      </c>
      <c r="E33" s="5">
        <f>C33/3</f>
        <v>16666.666666666668</v>
      </c>
    </row>
    <row r="34" spans="2:5" ht="21" x14ac:dyDescent="0.4">
      <c r="B34" s="3" t="s">
        <v>6</v>
      </c>
      <c r="C34" s="2"/>
      <c r="E34" s="11">
        <f>E35*10%</f>
        <v>16000</v>
      </c>
    </row>
    <row r="35" spans="2:5" ht="21.6" thickBot="1" x14ac:dyDescent="0.45">
      <c r="B35" s="3" t="s">
        <v>7</v>
      </c>
      <c r="C35" s="2"/>
      <c r="E35" s="12">
        <f>E31+E32+E33</f>
        <v>160000</v>
      </c>
    </row>
    <row r="36" spans="2:5" ht="21.6" thickTop="1" x14ac:dyDescent="0.4">
      <c r="B36" s="3" t="s">
        <v>8</v>
      </c>
      <c r="C36" s="2"/>
      <c r="E36" s="14">
        <f>E35+E34</f>
        <v>176000</v>
      </c>
    </row>
    <row r="37" spans="2:5" ht="21" x14ac:dyDescent="0.4">
      <c r="B37" s="3" t="s">
        <v>9</v>
      </c>
      <c r="C37" s="2"/>
      <c r="E37" s="17">
        <f>E36/3500</f>
        <v>50.285714285714285</v>
      </c>
    </row>
    <row r="42" spans="2:5" ht="21" x14ac:dyDescent="0.4">
      <c r="B42" s="15" t="s">
        <v>38</v>
      </c>
      <c r="C42" s="16">
        <v>30</v>
      </c>
      <c r="E42" s="2"/>
    </row>
    <row r="43" spans="2:5" ht="21" x14ac:dyDescent="0.4">
      <c r="B43" s="3"/>
      <c r="C43" s="2"/>
      <c r="E43" s="3" t="s">
        <v>1</v>
      </c>
    </row>
    <row r="44" spans="2:5" ht="21" x14ac:dyDescent="0.4">
      <c r="B44" s="4" t="s">
        <v>1</v>
      </c>
      <c r="C44" s="5">
        <v>200000</v>
      </c>
      <c r="E44" s="5">
        <f>C44/3</f>
        <v>66666.666666666672</v>
      </c>
    </row>
    <row r="45" spans="2:5" ht="21" x14ac:dyDescent="0.4">
      <c r="B45" s="4" t="s">
        <v>5</v>
      </c>
      <c r="C45" s="5">
        <v>10000</v>
      </c>
      <c r="E45" s="5">
        <f>C45</f>
        <v>10000</v>
      </c>
    </row>
    <row r="46" spans="2:5" ht="21" x14ac:dyDescent="0.4">
      <c r="B46" s="4" t="s">
        <v>2</v>
      </c>
      <c r="C46" s="5">
        <v>50000</v>
      </c>
      <c r="E46" s="5">
        <f>C46/2</f>
        <v>25000</v>
      </c>
    </row>
    <row r="47" spans="2:5" ht="21" x14ac:dyDescent="0.4">
      <c r="B47" s="3" t="s">
        <v>6</v>
      </c>
      <c r="C47" s="2"/>
      <c r="E47" s="11">
        <f>E48*10%</f>
        <v>10166.666666666668</v>
      </c>
    </row>
    <row r="48" spans="2:5" ht="21.6" thickBot="1" x14ac:dyDescent="0.45">
      <c r="B48" s="3" t="s">
        <v>7</v>
      </c>
      <c r="C48" s="2"/>
      <c r="E48" s="12">
        <f>E44+E45+E46</f>
        <v>101666.66666666667</v>
      </c>
    </row>
    <row r="49" spans="2:5" ht="21.6" thickTop="1" x14ac:dyDescent="0.4">
      <c r="B49" s="3" t="s">
        <v>8</v>
      </c>
      <c r="C49" s="2"/>
      <c r="E49" s="14">
        <f>E48+E47</f>
        <v>111833.33333333334</v>
      </c>
    </row>
    <row r="50" spans="2:5" ht="21" x14ac:dyDescent="0.4">
      <c r="B50" s="3" t="s">
        <v>9</v>
      </c>
      <c r="C50" s="2"/>
      <c r="E50" s="17">
        <f>E49/3500</f>
        <v>31.952380952380956</v>
      </c>
    </row>
    <row r="54" spans="2:5" ht="21" x14ac:dyDescent="0.4">
      <c r="B54" s="1" t="s">
        <v>11</v>
      </c>
      <c r="C54" s="2">
        <v>80</v>
      </c>
      <c r="E54" s="2"/>
    </row>
    <row r="55" spans="2:5" ht="21" x14ac:dyDescent="0.4">
      <c r="B55" s="3"/>
      <c r="C55" s="2"/>
      <c r="E55" s="3" t="s">
        <v>1</v>
      </c>
    </row>
    <row r="56" spans="2:5" ht="21" x14ac:dyDescent="0.4">
      <c r="B56" s="4" t="s">
        <v>1</v>
      </c>
      <c r="C56" s="5">
        <v>450000</v>
      </c>
      <c r="D56" s="6"/>
      <c r="E56" s="5">
        <f>C56/3</f>
        <v>150000</v>
      </c>
    </row>
    <row r="57" spans="2:5" ht="21" x14ac:dyDescent="0.4">
      <c r="B57" s="4" t="s">
        <v>2</v>
      </c>
      <c r="C57" s="5">
        <v>200000</v>
      </c>
      <c r="D57" s="6"/>
      <c r="E57" s="5">
        <f>C57/3</f>
        <v>66666.666666666672</v>
      </c>
    </row>
    <row r="58" spans="2:5" ht="21" x14ac:dyDescent="0.4">
      <c r="B58" s="18" t="s">
        <v>12</v>
      </c>
      <c r="C58" s="5">
        <v>10000</v>
      </c>
      <c r="D58" s="6"/>
      <c r="E58" s="5">
        <f>C58</f>
        <v>10000</v>
      </c>
    </row>
    <row r="59" spans="2:5" ht="21" x14ac:dyDescent="0.4">
      <c r="B59" s="4" t="s">
        <v>13</v>
      </c>
      <c r="C59" s="5">
        <v>0</v>
      </c>
      <c r="D59" s="6"/>
      <c r="E59" s="5">
        <f>C59</f>
        <v>0</v>
      </c>
    </row>
    <row r="60" spans="2:5" ht="21" x14ac:dyDescent="0.4">
      <c r="B60" s="4" t="s">
        <v>14</v>
      </c>
      <c r="C60" s="5">
        <v>0</v>
      </c>
      <c r="D60" s="6"/>
      <c r="E60" s="5">
        <f>C60</f>
        <v>0</v>
      </c>
    </row>
    <row r="61" spans="2:5" ht="21" x14ac:dyDescent="0.4">
      <c r="B61" s="4" t="s">
        <v>15</v>
      </c>
      <c r="C61" s="5">
        <v>0</v>
      </c>
      <c r="D61" s="6"/>
      <c r="E61" s="5">
        <f>C61</f>
        <v>0</v>
      </c>
    </row>
    <row r="62" spans="2:5" ht="21" x14ac:dyDescent="0.4">
      <c r="B62" s="4" t="s">
        <v>5</v>
      </c>
      <c r="C62" s="5">
        <v>20000</v>
      </c>
      <c r="D62" s="6"/>
      <c r="E62" s="5">
        <f>C62</f>
        <v>20000</v>
      </c>
    </row>
    <row r="63" spans="2:5" ht="21" x14ac:dyDescent="0.4">
      <c r="B63" s="3" t="s">
        <v>6</v>
      </c>
      <c r="C63" s="2"/>
      <c r="E63" s="11">
        <f>E64*15%</f>
        <v>37000</v>
      </c>
    </row>
    <row r="64" spans="2:5" ht="21.6" thickBot="1" x14ac:dyDescent="0.45">
      <c r="B64" s="3" t="s">
        <v>7</v>
      </c>
      <c r="C64" s="2"/>
      <c r="E64" s="12">
        <f>E56+E57+E60+E59+E61+E62+E58</f>
        <v>246666.66666666669</v>
      </c>
    </row>
    <row r="65" spans="2:6" ht="21.6" thickTop="1" x14ac:dyDescent="0.4">
      <c r="B65" s="3" t="s">
        <v>8</v>
      </c>
      <c r="C65" s="2"/>
      <c r="E65" s="14">
        <f>E64+E63</f>
        <v>283666.66666666669</v>
      </c>
    </row>
    <row r="66" spans="2:6" ht="21" x14ac:dyDescent="0.4">
      <c r="B66" s="3" t="s">
        <v>9</v>
      </c>
      <c r="C66" s="2"/>
      <c r="E66" s="14">
        <f>E65/3500</f>
        <v>81.047619047619051</v>
      </c>
    </row>
    <row r="68" spans="2:6" ht="21" x14ac:dyDescent="0.4">
      <c r="B68" s="1" t="s">
        <v>16</v>
      </c>
      <c r="C68" s="2">
        <v>90</v>
      </c>
      <c r="E68" s="2"/>
    </row>
    <row r="69" spans="2:6" ht="21" x14ac:dyDescent="0.4">
      <c r="B69" s="3"/>
      <c r="C69" s="2"/>
      <c r="E69" s="3" t="s">
        <v>1</v>
      </c>
    </row>
    <row r="70" spans="2:6" ht="21" x14ac:dyDescent="0.4">
      <c r="B70" s="4" t="s">
        <v>1</v>
      </c>
      <c r="C70" s="5">
        <v>280000</v>
      </c>
      <c r="D70" s="6"/>
      <c r="E70" s="5">
        <f>C70/3</f>
        <v>93333.333333333328</v>
      </c>
    </row>
    <row r="71" spans="2:6" ht="21" x14ac:dyDescent="0.4">
      <c r="B71" s="4" t="s">
        <v>2</v>
      </c>
      <c r="C71" s="5">
        <v>200000</v>
      </c>
      <c r="D71" s="6"/>
      <c r="E71" s="5">
        <f>C71/3</f>
        <v>66666.666666666672</v>
      </c>
    </row>
    <row r="72" spans="2:6" ht="21" x14ac:dyDescent="0.4">
      <c r="B72" s="18" t="s">
        <v>12</v>
      </c>
      <c r="C72" s="5"/>
      <c r="D72" s="6"/>
      <c r="E72" s="4"/>
    </row>
    <row r="73" spans="2:6" ht="21" x14ac:dyDescent="0.4">
      <c r="B73" s="4" t="s">
        <v>13</v>
      </c>
      <c r="C73" s="5">
        <f>33000</f>
        <v>33000</v>
      </c>
      <c r="D73" s="6"/>
      <c r="E73" s="5">
        <f>C73</f>
        <v>33000</v>
      </c>
    </row>
    <row r="74" spans="2:6" ht="21" x14ac:dyDescent="0.4">
      <c r="B74" s="4" t="s">
        <v>14</v>
      </c>
      <c r="C74" s="5">
        <v>60000</v>
      </c>
      <c r="D74" s="6"/>
      <c r="E74" s="5">
        <f>C74</f>
        <v>60000</v>
      </c>
    </row>
    <row r="75" spans="2:6" ht="21" x14ac:dyDescent="0.4">
      <c r="B75" s="4" t="s">
        <v>15</v>
      </c>
      <c r="C75" s="5">
        <v>14000</v>
      </c>
      <c r="D75" s="6"/>
      <c r="E75" s="5">
        <f>C75</f>
        <v>14000</v>
      </c>
    </row>
    <row r="76" spans="2:6" ht="21" x14ac:dyDescent="0.4">
      <c r="B76" s="4" t="s">
        <v>5</v>
      </c>
      <c r="C76" s="5">
        <v>25000</v>
      </c>
      <c r="D76" s="6"/>
      <c r="E76" s="5">
        <f>C76</f>
        <v>25000</v>
      </c>
    </row>
    <row r="77" spans="2:6" ht="21" x14ac:dyDescent="0.4">
      <c r="B77" s="3" t="s">
        <v>6</v>
      </c>
      <c r="C77" s="2"/>
      <c r="E77" s="11">
        <f>E78*5%</f>
        <v>14600</v>
      </c>
    </row>
    <row r="78" spans="2:6" ht="21.6" thickBot="1" x14ac:dyDescent="0.45">
      <c r="B78" s="3" t="s">
        <v>7</v>
      </c>
      <c r="C78" s="2"/>
      <c r="E78" s="12">
        <f>E70+E71+E74+E73+E75+E76</f>
        <v>292000</v>
      </c>
    </row>
    <row r="79" spans="2:6" ht="21.6" thickTop="1" x14ac:dyDescent="0.4">
      <c r="B79" s="3" t="s">
        <v>8</v>
      </c>
      <c r="C79" s="2"/>
      <c r="E79" s="14">
        <f>E78+E77</f>
        <v>306600</v>
      </c>
    </row>
    <row r="80" spans="2:6" ht="21" x14ac:dyDescent="0.4">
      <c r="B80" s="3" t="s">
        <v>9</v>
      </c>
      <c r="C80" s="2"/>
      <c r="E80" s="14">
        <f>E79/3500</f>
        <v>87.6</v>
      </c>
      <c r="F80" s="19"/>
    </row>
    <row r="82" spans="2:15" ht="21" x14ac:dyDescent="0.4">
      <c r="B82" s="1" t="s">
        <v>26</v>
      </c>
      <c r="C82" s="2">
        <v>140</v>
      </c>
      <c r="E82" s="2"/>
      <c r="G82" s="1" t="s">
        <v>26</v>
      </c>
      <c r="H82" s="2">
        <v>140</v>
      </c>
      <c r="J82" s="2"/>
      <c r="L82" s="1" t="s">
        <v>26</v>
      </c>
      <c r="M82" s="2">
        <v>140</v>
      </c>
      <c r="O82" s="2"/>
    </row>
    <row r="83" spans="2:15" ht="21" x14ac:dyDescent="0.4">
      <c r="B83" s="3"/>
      <c r="C83" s="2"/>
      <c r="E83" s="3" t="s">
        <v>1</v>
      </c>
      <c r="G83" s="3"/>
      <c r="H83" s="2"/>
      <c r="J83" s="3" t="s">
        <v>1</v>
      </c>
      <c r="L83" s="3"/>
      <c r="M83" s="2"/>
      <c r="O83" s="3" t="s">
        <v>1</v>
      </c>
    </row>
    <row r="84" spans="2:15" ht="21" x14ac:dyDescent="0.4">
      <c r="B84" s="4" t="s">
        <v>28</v>
      </c>
      <c r="C84" s="5">
        <v>50000</v>
      </c>
      <c r="D84" s="6"/>
      <c r="E84" s="5">
        <f>C84/3</f>
        <v>16666.666666666668</v>
      </c>
      <c r="G84" s="4" t="s">
        <v>28</v>
      </c>
      <c r="H84" s="5">
        <v>50000</v>
      </c>
      <c r="I84" s="6"/>
      <c r="J84" s="5">
        <f>H84/3</f>
        <v>16666.666666666668</v>
      </c>
      <c r="L84" s="4" t="s">
        <v>28</v>
      </c>
      <c r="M84" s="5">
        <v>50000</v>
      </c>
      <c r="N84" s="6"/>
      <c r="O84" s="5">
        <f>M84/3</f>
        <v>16666.666666666668</v>
      </c>
    </row>
    <row r="85" spans="2:15" ht="21" x14ac:dyDescent="0.4">
      <c r="B85" s="4" t="s">
        <v>2</v>
      </c>
      <c r="C85" s="5">
        <v>0</v>
      </c>
      <c r="D85" s="6"/>
      <c r="E85" s="5">
        <f>C85/3</f>
        <v>0</v>
      </c>
      <c r="G85" s="4" t="s">
        <v>2</v>
      </c>
      <c r="H85" s="5">
        <v>0</v>
      </c>
      <c r="I85" s="6"/>
      <c r="J85" s="5">
        <f>H85/3</f>
        <v>0</v>
      </c>
      <c r="L85" s="4" t="s">
        <v>2</v>
      </c>
      <c r="M85" s="5">
        <v>0</v>
      </c>
      <c r="N85" s="6"/>
      <c r="O85" s="5">
        <f>M85/3</f>
        <v>0</v>
      </c>
    </row>
    <row r="86" spans="2:15" ht="21" x14ac:dyDescent="0.4">
      <c r="B86" s="18" t="s">
        <v>27</v>
      </c>
      <c r="C86" s="5">
        <v>26000</v>
      </c>
      <c r="D86" s="6"/>
      <c r="E86" s="5">
        <f>C86</f>
        <v>26000</v>
      </c>
      <c r="G86" s="18" t="s">
        <v>27</v>
      </c>
      <c r="H86" s="5">
        <v>26000</v>
      </c>
      <c r="I86" s="6"/>
      <c r="J86" s="5">
        <f>H86</f>
        <v>26000</v>
      </c>
      <c r="L86" s="18" t="s">
        <v>27</v>
      </c>
      <c r="M86" s="5">
        <v>26000</v>
      </c>
      <c r="N86" s="6"/>
      <c r="O86" s="5">
        <f>M86</f>
        <v>26000</v>
      </c>
    </row>
    <row r="87" spans="2:15" ht="21" x14ac:dyDescent="0.4">
      <c r="B87" s="4" t="s">
        <v>29</v>
      </c>
      <c r="C87" s="5">
        <v>450000</v>
      </c>
      <c r="D87" s="6"/>
      <c r="E87" s="5">
        <f>C87</f>
        <v>450000</v>
      </c>
      <c r="G87" s="4" t="s">
        <v>32</v>
      </c>
      <c r="H87" s="5">
        <v>250000</v>
      </c>
      <c r="I87" s="6"/>
      <c r="J87" s="5">
        <f>H87</f>
        <v>250000</v>
      </c>
      <c r="L87" s="4" t="s">
        <v>33</v>
      </c>
      <c r="M87" s="5">
        <v>380000</v>
      </c>
      <c r="N87" s="6"/>
      <c r="O87" s="5">
        <f>M87</f>
        <v>380000</v>
      </c>
    </row>
    <row r="88" spans="2:15" ht="21" x14ac:dyDescent="0.4">
      <c r="B88" s="4" t="s">
        <v>5</v>
      </c>
      <c r="C88" s="5">
        <v>0</v>
      </c>
      <c r="D88" s="6"/>
      <c r="E88" s="5">
        <f>C88</f>
        <v>0</v>
      </c>
      <c r="G88" s="4" t="s">
        <v>5</v>
      </c>
      <c r="H88" s="5">
        <v>0</v>
      </c>
      <c r="I88" s="6"/>
      <c r="J88" s="5">
        <f>H88</f>
        <v>0</v>
      </c>
      <c r="L88" s="4" t="s">
        <v>5</v>
      </c>
      <c r="M88" s="5">
        <v>0</v>
      </c>
      <c r="N88" s="6"/>
      <c r="O88" s="5">
        <f>M88</f>
        <v>0</v>
      </c>
    </row>
    <row r="89" spans="2:15" ht="21" x14ac:dyDescent="0.4">
      <c r="B89" s="3" t="s">
        <v>6</v>
      </c>
      <c r="C89" s="2"/>
      <c r="E89" s="11">
        <f>E90*5%</f>
        <v>23333.333333333336</v>
      </c>
      <c r="G89" s="3" t="s">
        <v>6</v>
      </c>
      <c r="H89" s="2"/>
      <c r="J89" s="11">
        <f>J90*5%</f>
        <v>13333.333333333336</v>
      </c>
      <c r="L89" s="3" t="s">
        <v>6</v>
      </c>
      <c r="M89" s="2"/>
      <c r="O89" s="11">
        <f>O90*5%</f>
        <v>19833.333333333336</v>
      </c>
    </row>
    <row r="90" spans="2:15" ht="21.6" thickBot="1" x14ac:dyDescent="0.45">
      <c r="B90" s="3" t="s">
        <v>7</v>
      </c>
      <c r="C90" s="2"/>
      <c r="E90" s="12">
        <f>E84+E85+E87+E88</f>
        <v>466666.66666666669</v>
      </c>
      <c r="G90" s="3" t="s">
        <v>7</v>
      </c>
      <c r="H90" s="2"/>
      <c r="J90" s="12">
        <f>J84+J85+J87+J88</f>
        <v>266666.66666666669</v>
      </c>
      <c r="L90" s="3" t="s">
        <v>7</v>
      </c>
      <c r="M90" s="2"/>
      <c r="O90" s="12">
        <f>O84+O85+O87+O88</f>
        <v>396666.66666666669</v>
      </c>
    </row>
    <row r="91" spans="2:15" ht="21.6" thickTop="1" x14ac:dyDescent="0.4">
      <c r="B91" s="3" t="s">
        <v>8</v>
      </c>
      <c r="C91" s="2"/>
      <c r="E91" s="14">
        <f>E90+E89</f>
        <v>490000</v>
      </c>
      <c r="G91" s="3" t="s">
        <v>8</v>
      </c>
      <c r="H91" s="2"/>
      <c r="J91" s="14">
        <f>J90+J89</f>
        <v>280000</v>
      </c>
      <c r="L91" s="3" t="s">
        <v>8</v>
      </c>
      <c r="M91" s="2"/>
      <c r="O91" s="14">
        <f>O90+O89</f>
        <v>416500</v>
      </c>
    </row>
    <row r="92" spans="2:15" ht="21" x14ac:dyDescent="0.4">
      <c r="B92" s="3" t="s">
        <v>9</v>
      </c>
      <c r="C92" s="2"/>
      <c r="E92" s="14">
        <f>E91/3500</f>
        <v>140</v>
      </c>
      <c r="G92" s="3" t="s">
        <v>9</v>
      </c>
      <c r="H92" s="2"/>
      <c r="J92" s="14">
        <f>J91/3500</f>
        <v>80</v>
      </c>
      <c r="L92" s="3" t="s">
        <v>9</v>
      </c>
      <c r="M92" s="2"/>
      <c r="O92" s="14">
        <f>O91/3500</f>
        <v>119</v>
      </c>
    </row>
    <row r="95" spans="2:15" ht="21" x14ac:dyDescent="0.4">
      <c r="B95" s="1" t="s">
        <v>30</v>
      </c>
      <c r="C95" s="2">
        <v>55</v>
      </c>
      <c r="E95" s="2"/>
    </row>
    <row r="96" spans="2:15" ht="21" x14ac:dyDescent="0.4">
      <c r="B96" s="3"/>
      <c r="C96" s="2"/>
      <c r="E96" s="3" t="s">
        <v>1</v>
      </c>
    </row>
    <row r="97" spans="2:5" ht="21" x14ac:dyDescent="0.4">
      <c r="B97" s="4" t="s">
        <v>28</v>
      </c>
      <c r="C97" s="5">
        <v>50000</v>
      </c>
      <c r="D97" s="6"/>
      <c r="E97" s="5">
        <f>C97/3</f>
        <v>16666.666666666668</v>
      </c>
    </row>
    <row r="98" spans="2:5" ht="21" x14ac:dyDescent="0.4">
      <c r="B98" s="4" t="s">
        <v>2</v>
      </c>
      <c r="C98" s="5">
        <v>200000</v>
      </c>
      <c r="D98" s="6"/>
      <c r="E98" s="5">
        <f>C98/3</f>
        <v>66666.666666666672</v>
      </c>
    </row>
    <row r="99" spans="2:5" ht="21" x14ac:dyDescent="0.4">
      <c r="B99" s="18" t="s">
        <v>27</v>
      </c>
      <c r="C99" s="5">
        <v>26000</v>
      </c>
      <c r="D99" s="6"/>
      <c r="E99" s="5">
        <f>C99</f>
        <v>26000</v>
      </c>
    </row>
    <row r="100" spans="2:5" ht="21" x14ac:dyDescent="0.4">
      <c r="B100" s="4" t="s">
        <v>29</v>
      </c>
      <c r="C100" s="5">
        <v>100000</v>
      </c>
      <c r="D100" s="6"/>
      <c r="E100" s="5">
        <f>C100</f>
        <v>100000</v>
      </c>
    </row>
    <row r="101" spans="2:5" ht="21" x14ac:dyDescent="0.4">
      <c r="B101" s="4" t="s">
        <v>5</v>
      </c>
      <c r="C101" s="5">
        <v>0</v>
      </c>
      <c r="D101" s="6"/>
      <c r="E101" s="5">
        <f>C101</f>
        <v>0</v>
      </c>
    </row>
    <row r="102" spans="2:5" ht="21" x14ac:dyDescent="0.4">
      <c r="B102" s="3" t="s">
        <v>6</v>
      </c>
      <c r="C102" s="2"/>
      <c r="E102" s="11">
        <f>E103*5%</f>
        <v>9166.6666666666679</v>
      </c>
    </row>
    <row r="103" spans="2:5" ht="21.6" thickBot="1" x14ac:dyDescent="0.45">
      <c r="B103" s="3" t="s">
        <v>7</v>
      </c>
      <c r="C103" s="2"/>
      <c r="E103" s="12">
        <f>E97+E98+E100+E101</f>
        <v>183333.33333333334</v>
      </c>
    </row>
    <row r="104" spans="2:5" ht="21.6" thickTop="1" x14ac:dyDescent="0.4">
      <c r="B104" s="3" t="s">
        <v>8</v>
      </c>
      <c r="C104" s="2"/>
      <c r="E104" s="14">
        <f>E103+E102</f>
        <v>192500</v>
      </c>
    </row>
    <row r="105" spans="2:5" ht="21" x14ac:dyDescent="0.4">
      <c r="B105" s="3" t="s">
        <v>9</v>
      </c>
      <c r="C105" s="2"/>
      <c r="E105" s="14">
        <f>E104/3500</f>
        <v>55</v>
      </c>
    </row>
  </sheetData>
  <mergeCells count="2">
    <mergeCell ref="G4:H4"/>
    <mergeCell ref="G9:H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A74E5-4E2D-4BDE-A984-05C1F7C452BF}">
  <sheetPr>
    <tabColor rgb="FFFFC000"/>
  </sheetPr>
  <dimension ref="B3:O75"/>
  <sheetViews>
    <sheetView topLeftCell="H1" workbookViewId="0">
      <selection activeCell="K17" sqref="K17"/>
    </sheetView>
  </sheetViews>
  <sheetFormatPr baseColWidth="10" defaultRowHeight="14.4" x14ac:dyDescent="0.3"/>
  <cols>
    <col min="2" max="2" width="36.21875" bestFit="1" customWidth="1"/>
    <col min="3" max="3" width="17.5546875" bestFit="1" customWidth="1"/>
    <col min="5" max="5" width="15.88671875" bestFit="1" customWidth="1"/>
    <col min="7" max="7" width="36.21875" bestFit="1" customWidth="1"/>
    <col min="8" max="8" width="24.77734375" customWidth="1"/>
    <col min="9" max="9" width="17.77734375" customWidth="1"/>
    <col min="10" max="10" width="29.21875" bestFit="1" customWidth="1"/>
    <col min="11" max="11" width="19.6640625" customWidth="1"/>
    <col min="12" max="12" width="32" customWidth="1"/>
    <col min="13" max="13" width="13.5546875" bestFit="1" customWidth="1"/>
    <col min="15" max="15" width="13.5546875" bestFit="1" customWidth="1"/>
  </cols>
  <sheetData>
    <row r="3" spans="2:15" ht="21" x14ac:dyDescent="0.4">
      <c r="B3" s="1" t="s">
        <v>26</v>
      </c>
      <c r="C3" s="2">
        <v>130</v>
      </c>
      <c r="E3" s="2"/>
      <c r="G3" s="1" t="s">
        <v>26</v>
      </c>
      <c r="H3" s="2">
        <v>85</v>
      </c>
      <c r="J3" s="2"/>
      <c r="L3" s="1" t="s">
        <v>26</v>
      </c>
      <c r="M3" s="2">
        <v>115</v>
      </c>
      <c r="O3" s="2"/>
    </row>
    <row r="4" spans="2:15" ht="21" x14ac:dyDescent="0.4">
      <c r="B4" s="3"/>
      <c r="C4" s="2"/>
      <c r="E4" s="3" t="s">
        <v>1</v>
      </c>
      <c r="G4" s="3"/>
      <c r="H4" s="2"/>
      <c r="J4" s="3" t="s">
        <v>1</v>
      </c>
      <c r="L4" s="3"/>
      <c r="M4" s="2"/>
      <c r="O4" s="3" t="s">
        <v>1</v>
      </c>
    </row>
    <row r="5" spans="2:15" ht="21" x14ac:dyDescent="0.4">
      <c r="B5" s="4" t="s">
        <v>28</v>
      </c>
      <c r="C5" s="5">
        <v>260000</v>
      </c>
      <c r="D5" s="6"/>
      <c r="E5" s="5">
        <f>C5/10</f>
        <v>26000</v>
      </c>
      <c r="G5" s="4" t="s">
        <v>28</v>
      </c>
      <c r="H5" s="5">
        <v>260000</v>
      </c>
      <c r="I5" s="6"/>
      <c r="J5" s="5">
        <f>H5/10</f>
        <v>26000</v>
      </c>
      <c r="L5" s="4" t="s">
        <v>28</v>
      </c>
      <c r="M5" s="5">
        <v>260000</v>
      </c>
      <c r="N5" s="6"/>
      <c r="O5" s="5">
        <f>M5/10</f>
        <v>26000</v>
      </c>
    </row>
    <row r="6" spans="2:15" ht="21" x14ac:dyDescent="0.4">
      <c r="B6" s="4" t="s">
        <v>2</v>
      </c>
      <c r="C6" s="5">
        <v>0</v>
      </c>
      <c r="D6" s="6"/>
      <c r="E6" s="5">
        <f>C6/3</f>
        <v>0</v>
      </c>
      <c r="G6" s="4" t="s">
        <v>2</v>
      </c>
      <c r="H6" s="5">
        <v>0</v>
      </c>
      <c r="I6" s="6"/>
      <c r="J6" s="5">
        <f>H6/3</f>
        <v>0</v>
      </c>
      <c r="L6" s="4" t="s">
        <v>2</v>
      </c>
      <c r="M6" s="5">
        <v>0</v>
      </c>
      <c r="N6" s="6"/>
      <c r="O6" s="5">
        <f>M6/3</f>
        <v>0</v>
      </c>
    </row>
    <row r="7" spans="2:15" ht="21" x14ac:dyDescent="0.4">
      <c r="B7" s="18" t="s">
        <v>27</v>
      </c>
      <c r="C7" s="5">
        <v>26000</v>
      </c>
      <c r="D7" s="6"/>
      <c r="E7" s="5">
        <f>C7</f>
        <v>26000</v>
      </c>
      <c r="G7" s="18" t="s">
        <v>27</v>
      </c>
      <c r="H7" s="5">
        <v>26000</v>
      </c>
      <c r="I7" s="6"/>
      <c r="J7" s="5">
        <f>H7</f>
        <v>26000</v>
      </c>
      <c r="L7" s="18" t="s">
        <v>27</v>
      </c>
      <c r="M7" s="5">
        <v>26000</v>
      </c>
      <c r="N7" s="6"/>
      <c r="O7" s="5">
        <f>M7</f>
        <v>26000</v>
      </c>
    </row>
    <row r="8" spans="2:15" ht="21" x14ac:dyDescent="0.4">
      <c r="B8" s="4" t="s">
        <v>29</v>
      </c>
      <c r="C8" s="5">
        <v>420000</v>
      </c>
      <c r="D8" s="6"/>
      <c r="E8" s="5">
        <f>C8</f>
        <v>420000</v>
      </c>
      <c r="G8" s="4" t="s">
        <v>32</v>
      </c>
      <c r="H8" s="5">
        <v>250000</v>
      </c>
      <c r="I8" s="6"/>
      <c r="J8" s="5">
        <f>H8</f>
        <v>250000</v>
      </c>
      <c r="L8" s="4" t="s">
        <v>33</v>
      </c>
      <c r="M8" s="5">
        <v>360000</v>
      </c>
      <c r="N8" s="6"/>
      <c r="O8" s="5">
        <f>M8</f>
        <v>360000</v>
      </c>
    </row>
    <row r="9" spans="2:15" ht="21" x14ac:dyDescent="0.4">
      <c r="B9" s="4" t="s">
        <v>5</v>
      </c>
      <c r="C9" s="5">
        <v>0</v>
      </c>
      <c r="D9" s="6"/>
      <c r="E9" s="5">
        <f>C9</f>
        <v>0</v>
      </c>
      <c r="G9" s="4" t="s">
        <v>5</v>
      </c>
      <c r="H9" s="5">
        <v>0</v>
      </c>
      <c r="I9" s="6"/>
      <c r="J9" s="5">
        <f>H9</f>
        <v>0</v>
      </c>
      <c r="L9" s="4" t="s">
        <v>5</v>
      </c>
      <c r="M9" s="5">
        <v>0</v>
      </c>
      <c r="N9" s="6"/>
      <c r="O9" s="5">
        <f>M9</f>
        <v>0</v>
      </c>
    </row>
    <row r="10" spans="2:15" ht="21" x14ac:dyDescent="0.4">
      <c r="B10" s="3" t="s">
        <v>6</v>
      </c>
      <c r="C10" s="2"/>
      <c r="E10" s="11">
        <f>E11*5%</f>
        <v>23600</v>
      </c>
      <c r="G10" s="3" t="s">
        <v>6</v>
      </c>
      <c r="H10" s="2"/>
      <c r="J10" s="11">
        <f>J11*5%</f>
        <v>15100</v>
      </c>
      <c r="L10" s="3" t="s">
        <v>6</v>
      </c>
      <c r="M10" s="2"/>
      <c r="O10" s="11">
        <f>O11*5%</f>
        <v>20600</v>
      </c>
    </row>
    <row r="11" spans="2:15" ht="21.6" thickBot="1" x14ac:dyDescent="0.45">
      <c r="B11" s="3" t="s">
        <v>7</v>
      </c>
      <c r="C11" s="2"/>
      <c r="E11" s="12">
        <f>E5+E7+E8+E9</f>
        <v>472000</v>
      </c>
      <c r="G11" s="3" t="s">
        <v>7</v>
      </c>
      <c r="H11" s="2"/>
      <c r="J11" s="12">
        <f>J5+J7+J8+J9</f>
        <v>302000</v>
      </c>
      <c r="L11" s="3" t="s">
        <v>7</v>
      </c>
      <c r="M11" s="2"/>
      <c r="O11" s="12">
        <f>O5+O7+O8+O9</f>
        <v>412000</v>
      </c>
    </row>
    <row r="12" spans="2:15" ht="21.6" thickTop="1" x14ac:dyDescent="0.4">
      <c r="B12" s="3" t="s">
        <v>8</v>
      </c>
      <c r="C12" s="2"/>
      <c r="E12" s="14">
        <f>E11+E10</f>
        <v>495600</v>
      </c>
      <c r="G12" s="3" t="s">
        <v>8</v>
      </c>
      <c r="H12" s="2"/>
      <c r="J12" s="14">
        <f>J11+J10</f>
        <v>317100</v>
      </c>
      <c r="L12" s="3" t="s">
        <v>8</v>
      </c>
      <c r="M12" s="2"/>
      <c r="O12" s="14">
        <f>O11+O10</f>
        <v>432600</v>
      </c>
    </row>
    <row r="13" spans="2:15" ht="21" x14ac:dyDescent="0.4">
      <c r="B13" s="3" t="s">
        <v>9</v>
      </c>
      <c r="C13" s="2"/>
      <c r="E13" s="14">
        <f>E12/3700</f>
        <v>133.94594594594594</v>
      </c>
      <c r="G13" s="3" t="s">
        <v>9</v>
      </c>
      <c r="H13" s="2"/>
      <c r="J13" s="14">
        <f>J12/3700</f>
        <v>85.702702702702709</v>
      </c>
      <c r="L13" s="3" t="s">
        <v>9</v>
      </c>
      <c r="M13" s="2"/>
      <c r="O13" s="14">
        <f>O12/3700</f>
        <v>116.91891891891892</v>
      </c>
    </row>
    <row r="16" spans="2:15" ht="21.6" thickBot="1" x14ac:dyDescent="0.45">
      <c r="B16" s="1" t="s">
        <v>30</v>
      </c>
      <c r="C16" s="2">
        <v>55</v>
      </c>
      <c r="E16" s="2"/>
    </row>
    <row r="17" spans="2:9" ht="66" customHeight="1" thickBot="1" x14ac:dyDescent="0.45">
      <c r="B17" s="3"/>
      <c r="C17" s="2"/>
      <c r="E17" s="3" t="s">
        <v>1</v>
      </c>
      <c r="G17" s="54" t="s">
        <v>61</v>
      </c>
      <c r="H17" s="55" t="s">
        <v>62</v>
      </c>
    </row>
    <row r="18" spans="2:9" ht="42" x14ac:dyDescent="0.4">
      <c r="B18" s="4" t="s">
        <v>28</v>
      </c>
      <c r="C18" s="5">
        <v>200000</v>
      </c>
      <c r="D18" s="6"/>
      <c r="E18" s="5">
        <f>C18/10</f>
        <v>20000</v>
      </c>
      <c r="G18" s="57" t="s">
        <v>64</v>
      </c>
      <c r="H18" s="53"/>
    </row>
    <row r="19" spans="2:9" ht="21" x14ac:dyDescent="0.4">
      <c r="B19" s="4" t="s">
        <v>2</v>
      </c>
      <c r="C19" s="5">
        <v>200000</v>
      </c>
      <c r="D19" s="6"/>
      <c r="E19" s="5">
        <f>C19/10</f>
        <v>20000</v>
      </c>
      <c r="G19" s="41" t="s">
        <v>29</v>
      </c>
      <c r="H19" s="43">
        <v>130</v>
      </c>
    </row>
    <row r="20" spans="2:9" ht="21" x14ac:dyDescent="0.4">
      <c r="B20" s="18" t="s">
        <v>27</v>
      </c>
      <c r="C20" s="5">
        <v>26000</v>
      </c>
      <c r="D20" s="6"/>
      <c r="E20" s="5">
        <f>C20</f>
        <v>26000</v>
      </c>
      <c r="G20" s="41" t="s">
        <v>33</v>
      </c>
      <c r="H20" s="43">
        <v>115</v>
      </c>
    </row>
    <row r="21" spans="2:9" ht="21" x14ac:dyDescent="0.4">
      <c r="B21" s="4" t="s">
        <v>55</v>
      </c>
      <c r="C21" s="5">
        <v>100000</v>
      </c>
      <c r="D21" s="6"/>
      <c r="E21" s="5">
        <f>C21</f>
        <v>100000</v>
      </c>
      <c r="G21" s="41" t="s">
        <v>32</v>
      </c>
      <c r="H21" s="43">
        <v>85</v>
      </c>
    </row>
    <row r="22" spans="2:9" ht="21" x14ac:dyDescent="0.4">
      <c r="B22" s="4" t="s">
        <v>5</v>
      </c>
      <c r="C22" s="5">
        <v>0</v>
      </c>
      <c r="D22" s="6"/>
      <c r="E22" s="5">
        <f>C22</f>
        <v>0</v>
      </c>
      <c r="G22" s="41" t="s">
        <v>30</v>
      </c>
      <c r="H22" s="43">
        <v>55</v>
      </c>
    </row>
    <row r="23" spans="2:9" ht="21" x14ac:dyDescent="0.4">
      <c r="B23" s="3" t="s">
        <v>6</v>
      </c>
      <c r="C23" s="2"/>
      <c r="E23" s="11">
        <f>E24*5%</f>
        <v>8300</v>
      </c>
      <c r="G23" s="41" t="s">
        <v>52</v>
      </c>
      <c r="H23" s="43">
        <v>60</v>
      </c>
    </row>
    <row r="24" spans="2:9" ht="21.6" thickBot="1" x14ac:dyDescent="0.45">
      <c r="B24" s="3" t="s">
        <v>7</v>
      </c>
      <c r="C24" s="2"/>
      <c r="E24" s="12">
        <f>E18+E20+E21+E22+E19</f>
        <v>166000</v>
      </c>
      <c r="G24" s="41" t="s">
        <v>56</v>
      </c>
      <c r="H24" s="43">
        <v>65</v>
      </c>
    </row>
    <row r="25" spans="2:9" ht="21.6" thickTop="1" x14ac:dyDescent="0.4">
      <c r="B25" s="3" t="s">
        <v>8</v>
      </c>
      <c r="C25" s="2"/>
      <c r="E25" s="14">
        <f>E24+E23</f>
        <v>174300</v>
      </c>
      <c r="G25" s="41" t="s">
        <v>16</v>
      </c>
      <c r="H25" s="43">
        <v>60</v>
      </c>
    </row>
    <row r="26" spans="2:9" ht="21.6" thickBot="1" x14ac:dyDescent="0.45">
      <c r="B26" s="3" t="s">
        <v>9</v>
      </c>
      <c r="C26" s="2"/>
      <c r="E26" s="14">
        <f>E25/3700</f>
        <v>47.108108108108105</v>
      </c>
      <c r="G26" s="42" t="s">
        <v>63</v>
      </c>
      <c r="H26" s="44">
        <v>15</v>
      </c>
    </row>
    <row r="29" spans="2:9" ht="21.6" thickBot="1" x14ac:dyDescent="0.45">
      <c r="B29" s="1" t="s">
        <v>52</v>
      </c>
      <c r="C29" s="2">
        <v>60</v>
      </c>
      <c r="E29" s="2"/>
    </row>
    <row r="30" spans="2:9" ht="21" x14ac:dyDescent="0.4">
      <c r="B30" s="3"/>
      <c r="C30" s="2"/>
      <c r="E30" s="3" t="s">
        <v>1</v>
      </c>
      <c r="G30" s="50" t="s">
        <v>57</v>
      </c>
      <c r="H30" s="51" t="s">
        <v>58</v>
      </c>
      <c r="I30" s="52" t="s">
        <v>66</v>
      </c>
    </row>
    <row r="31" spans="2:9" ht="44.4" x14ac:dyDescent="0.4">
      <c r="B31" s="4" t="s">
        <v>53</v>
      </c>
      <c r="C31" s="5">
        <v>600000</v>
      </c>
      <c r="D31" s="6"/>
      <c r="E31" s="5">
        <f>C31/10</f>
        <v>60000</v>
      </c>
      <c r="G31" s="49" t="s">
        <v>59</v>
      </c>
      <c r="H31" s="45">
        <v>148000</v>
      </c>
      <c r="I31" s="47">
        <f>H31/3700</f>
        <v>40</v>
      </c>
    </row>
    <row r="32" spans="2:9" ht="73.8" thickBot="1" x14ac:dyDescent="0.45">
      <c r="B32" s="4" t="s">
        <v>2</v>
      </c>
      <c r="C32" s="5">
        <v>200000</v>
      </c>
      <c r="D32" s="6"/>
      <c r="E32" s="5">
        <f>C32/10</f>
        <v>20000</v>
      </c>
      <c r="G32" s="48" t="s">
        <v>60</v>
      </c>
      <c r="H32" s="46">
        <v>105000</v>
      </c>
      <c r="I32" s="47">
        <f>H32/3700</f>
        <v>28.378378378378379</v>
      </c>
    </row>
    <row r="33" spans="2:12" ht="21" x14ac:dyDescent="0.4">
      <c r="B33" s="18" t="s">
        <v>54</v>
      </c>
      <c r="C33" s="5">
        <v>100000</v>
      </c>
      <c r="D33" s="6"/>
      <c r="E33" s="5">
        <f>C33/10</f>
        <v>10000</v>
      </c>
    </row>
    <row r="34" spans="2:12" ht="21" x14ac:dyDescent="0.4">
      <c r="B34" s="4" t="s">
        <v>4</v>
      </c>
      <c r="C34" s="5">
        <v>70000</v>
      </c>
      <c r="D34" s="6"/>
      <c r="E34" s="5">
        <f>C34</f>
        <v>70000</v>
      </c>
    </row>
    <row r="35" spans="2:12" ht="21" x14ac:dyDescent="0.4">
      <c r="B35" s="4" t="s">
        <v>5</v>
      </c>
      <c r="C35" s="5">
        <v>30000</v>
      </c>
      <c r="D35" s="6"/>
      <c r="E35" s="5">
        <f>C35</f>
        <v>30000</v>
      </c>
    </row>
    <row r="36" spans="2:12" ht="21.6" thickBot="1" x14ac:dyDescent="0.45">
      <c r="B36" s="3" t="s">
        <v>6</v>
      </c>
      <c r="C36" s="2"/>
      <c r="E36" s="11">
        <f>E37*5%</f>
        <v>9500</v>
      </c>
    </row>
    <row r="37" spans="2:12" ht="58.2" thickBot="1" x14ac:dyDescent="0.45">
      <c r="B37" s="3" t="s">
        <v>7</v>
      </c>
      <c r="C37" s="2"/>
      <c r="E37" s="12">
        <f>E31+E33+E34+E35+E32</f>
        <v>190000</v>
      </c>
      <c r="J37" s="54" t="s">
        <v>61</v>
      </c>
      <c r="K37" s="55" t="s">
        <v>62</v>
      </c>
      <c r="L37" s="58" t="s">
        <v>65</v>
      </c>
    </row>
    <row r="38" spans="2:12" ht="21.6" thickTop="1" x14ac:dyDescent="0.4">
      <c r="B38" s="3" t="s">
        <v>9</v>
      </c>
      <c r="C38" s="2"/>
      <c r="E38" s="14" t="e">
        <f>#REF!/3700</f>
        <v>#REF!</v>
      </c>
      <c r="J38" s="41" t="s">
        <v>29</v>
      </c>
      <c r="K38" s="7">
        <v>130</v>
      </c>
      <c r="L38" s="59">
        <v>40</v>
      </c>
    </row>
    <row r="39" spans="2:12" ht="21" x14ac:dyDescent="0.4">
      <c r="J39" s="41" t="s">
        <v>30</v>
      </c>
      <c r="K39" s="7">
        <v>55</v>
      </c>
      <c r="L39" s="192">
        <f>40*4</f>
        <v>160</v>
      </c>
    </row>
    <row r="40" spans="2:12" ht="21" x14ac:dyDescent="0.4">
      <c r="B40" s="1" t="s">
        <v>63</v>
      </c>
      <c r="C40" s="2">
        <v>15</v>
      </c>
      <c r="E40" s="2"/>
      <c r="J40" s="41" t="s">
        <v>52</v>
      </c>
      <c r="K40" s="7">
        <v>60</v>
      </c>
      <c r="L40" s="192"/>
    </row>
    <row r="41" spans="2:12" ht="21" x14ac:dyDescent="0.4">
      <c r="B41" s="3"/>
      <c r="C41" s="2"/>
      <c r="E41" s="3" t="s">
        <v>1</v>
      </c>
      <c r="J41" s="41" t="s">
        <v>56</v>
      </c>
      <c r="K41" s="7">
        <v>65</v>
      </c>
      <c r="L41" s="192"/>
    </row>
    <row r="42" spans="2:12" ht="21" x14ac:dyDescent="0.4">
      <c r="B42" s="4" t="s">
        <v>53</v>
      </c>
      <c r="C42" s="5">
        <v>280000</v>
      </c>
      <c r="D42" s="6"/>
      <c r="E42" s="5">
        <f>C42/10</f>
        <v>28000</v>
      </c>
      <c r="J42" s="41" t="s">
        <v>16</v>
      </c>
      <c r="K42" s="7">
        <v>60</v>
      </c>
      <c r="L42" s="192"/>
    </row>
    <row r="43" spans="2:12" ht="21.6" thickBot="1" x14ac:dyDescent="0.45">
      <c r="B43" s="4" t="s">
        <v>2</v>
      </c>
      <c r="C43" s="5">
        <v>200000</v>
      </c>
      <c r="D43" s="6"/>
      <c r="E43" s="5">
        <f>C43/10</f>
        <v>20000</v>
      </c>
      <c r="J43" s="42" t="s">
        <v>63</v>
      </c>
      <c r="K43" s="44">
        <v>15</v>
      </c>
      <c r="L43" s="193"/>
    </row>
    <row r="44" spans="2:12" ht="21.6" thickBot="1" x14ac:dyDescent="0.45">
      <c r="B44" s="18" t="s">
        <v>54</v>
      </c>
      <c r="C44" s="5">
        <v>0</v>
      </c>
      <c r="D44" s="6"/>
      <c r="E44" s="5">
        <f>C44/10</f>
        <v>0</v>
      </c>
      <c r="J44" s="60" t="s">
        <v>67</v>
      </c>
      <c r="K44" s="61">
        <f>SUM(K38:K43)</f>
        <v>385</v>
      </c>
      <c r="L44" s="63">
        <f>L39</f>
        <v>160</v>
      </c>
    </row>
    <row r="45" spans="2:12" ht="21.6" thickBot="1" x14ac:dyDescent="0.45">
      <c r="B45" s="4" t="s">
        <v>4</v>
      </c>
      <c r="C45" s="5">
        <v>0</v>
      </c>
      <c r="D45" s="6"/>
      <c r="E45" s="5">
        <f>C45</f>
        <v>0</v>
      </c>
      <c r="J45" s="60" t="s">
        <v>69</v>
      </c>
      <c r="L45" s="62">
        <f>K44+L39</f>
        <v>545</v>
      </c>
    </row>
    <row r="46" spans="2:12" ht="21.6" thickTop="1" x14ac:dyDescent="0.4">
      <c r="B46" s="4" t="s">
        <v>5</v>
      </c>
      <c r="C46" s="5">
        <v>10000</v>
      </c>
      <c r="D46" s="6"/>
      <c r="E46" s="5">
        <f>C46</f>
        <v>10000</v>
      </c>
    </row>
    <row r="47" spans="2:12" ht="21.6" thickBot="1" x14ac:dyDescent="0.45">
      <c r="B47" s="3" t="s">
        <v>7</v>
      </c>
      <c r="C47" s="2"/>
      <c r="E47" s="12">
        <f>E42+E44+E45+E46+E43</f>
        <v>58000</v>
      </c>
    </row>
    <row r="48" spans="2:12" ht="21.6" thickTop="1" x14ac:dyDescent="0.4">
      <c r="B48" s="3" t="s">
        <v>8</v>
      </c>
      <c r="C48" s="2"/>
      <c r="E48" s="14" t="e">
        <f>E47+#REF!</f>
        <v>#REF!</v>
      </c>
    </row>
    <row r="49" spans="2:11" ht="21" x14ac:dyDescent="0.4">
      <c r="B49" s="3" t="s">
        <v>9</v>
      </c>
      <c r="C49" s="2"/>
      <c r="E49" s="14" t="e">
        <f>E48/3700</f>
        <v>#REF!</v>
      </c>
    </row>
    <row r="53" spans="2:11" ht="21" x14ac:dyDescent="0.4">
      <c r="B53" s="1" t="s">
        <v>56</v>
      </c>
      <c r="C53" s="2">
        <v>60</v>
      </c>
      <c r="E53" s="2"/>
    </row>
    <row r="54" spans="2:11" ht="21.6" thickBot="1" x14ac:dyDescent="0.45">
      <c r="B54" s="3"/>
      <c r="C54" s="2"/>
      <c r="E54" s="3" t="s">
        <v>1</v>
      </c>
    </row>
    <row r="55" spans="2:11" ht="47.4" thickBot="1" x14ac:dyDescent="0.45">
      <c r="B55" s="4" t="s">
        <v>2</v>
      </c>
      <c r="C55" s="5">
        <v>500000</v>
      </c>
      <c r="D55" s="6"/>
      <c r="E55" s="5">
        <f>C55/10</f>
        <v>50000</v>
      </c>
      <c r="J55" s="54" t="s">
        <v>61</v>
      </c>
      <c r="K55" s="55" t="s">
        <v>62</v>
      </c>
    </row>
    <row r="56" spans="2:11" ht="21" x14ac:dyDescent="0.4">
      <c r="B56" s="18"/>
      <c r="C56" s="5">
        <v>0</v>
      </c>
      <c r="D56" s="6"/>
      <c r="E56" s="5">
        <f>C56/10</f>
        <v>0</v>
      </c>
      <c r="J56" s="41" t="s">
        <v>32</v>
      </c>
      <c r="K56" s="43">
        <v>85</v>
      </c>
    </row>
    <row r="57" spans="2:11" ht="21" x14ac:dyDescent="0.4">
      <c r="B57" s="4" t="s">
        <v>4</v>
      </c>
      <c r="C57" s="5">
        <v>0</v>
      </c>
      <c r="D57" s="6"/>
      <c r="E57" s="5">
        <f>C57</f>
        <v>0</v>
      </c>
      <c r="J57" s="41" t="s">
        <v>30</v>
      </c>
      <c r="K57" s="43">
        <v>55</v>
      </c>
    </row>
    <row r="58" spans="2:11" ht="21" x14ac:dyDescent="0.4">
      <c r="B58" s="4" t="s">
        <v>5</v>
      </c>
      <c r="C58" s="5">
        <v>30000</v>
      </c>
      <c r="D58" s="6"/>
      <c r="E58" s="5">
        <f>C58</f>
        <v>30000</v>
      </c>
      <c r="J58" s="41" t="s">
        <v>52</v>
      </c>
      <c r="K58" s="43">
        <v>60</v>
      </c>
    </row>
    <row r="59" spans="2:11" ht="21" x14ac:dyDescent="0.4">
      <c r="B59" s="3" t="s">
        <v>6</v>
      </c>
      <c r="C59" s="2"/>
      <c r="E59" s="11" t="e">
        <f>E60*5%</f>
        <v>#REF!</v>
      </c>
      <c r="J59" s="41" t="s">
        <v>56</v>
      </c>
      <c r="K59" s="43">
        <v>65</v>
      </c>
    </row>
    <row r="60" spans="2:11" ht="21.6" thickBot="1" x14ac:dyDescent="0.45">
      <c r="B60" s="3" t="s">
        <v>7</v>
      </c>
      <c r="C60" s="2"/>
      <c r="E60" s="12" t="e">
        <f>#REF!+E56+E57+E58+E55</f>
        <v>#REF!</v>
      </c>
      <c r="J60" s="41" t="s">
        <v>16</v>
      </c>
      <c r="K60" s="43">
        <v>60</v>
      </c>
    </row>
    <row r="61" spans="2:11" ht="22.2" thickTop="1" thickBot="1" x14ac:dyDescent="0.45">
      <c r="B61" s="3" t="s">
        <v>8</v>
      </c>
      <c r="C61" s="2"/>
      <c r="E61" s="14" t="e">
        <f>E60+E59</f>
        <v>#REF!</v>
      </c>
      <c r="J61" s="42" t="s">
        <v>63</v>
      </c>
      <c r="K61" s="44">
        <v>15</v>
      </c>
    </row>
    <row r="62" spans="2:11" ht="21" x14ac:dyDescent="0.4">
      <c r="B62" s="3" t="s">
        <v>9</v>
      </c>
      <c r="C62" s="2"/>
      <c r="E62" s="14" t="e">
        <f>E61/3700</f>
        <v>#REF!</v>
      </c>
      <c r="K62" s="2">
        <f>SUM(K56:K61)</f>
        <v>340</v>
      </c>
    </row>
    <row r="65" spans="2:11" ht="21.6" thickBot="1" x14ac:dyDescent="0.45">
      <c r="B65" s="1" t="s">
        <v>16</v>
      </c>
      <c r="C65" s="2">
        <v>60</v>
      </c>
      <c r="E65" s="2"/>
    </row>
    <row r="66" spans="2:11" ht="47.4" thickBot="1" x14ac:dyDescent="0.45">
      <c r="B66" s="3"/>
      <c r="C66" s="2"/>
      <c r="E66" s="3" t="s">
        <v>1</v>
      </c>
      <c r="J66" s="54" t="s">
        <v>61</v>
      </c>
      <c r="K66" s="55" t="s">
        <v>62</v>
      </c>
    </row>
    <row r="67" spans="2:11" ht="21" x14ac:dyDescent="0.4">
      <c r="B67" s="4" t="s">
        <v>53</v>
      </c>
      <c r="C67" s="5">
        <v>550000</v>
      </c>
      <c r="D67" s="6"/>
      <c r="E67" s="5">
        <f>C67/10</f>
        <v>55000</v>
      </c>
      <c r="J67" s="4" t="s">
        <v>33</v>
      </c>
      <c r="K67" s="43">
        <v>115</v>
      </c>
    </row>
    <row r="68" spans="2:11" ht="21" x14ac:dyDescent="0.4">
      <c r="B68" s="4" t="s">
        <v>2</v>
      </c>
      <c r="C68" s="5">
        <v>300000</v>
      </c>
      <c r="D68" s="6"/>
      <c r="E68" s="5">
        <f>C68/10</f>
        <v>30000</v>
      </c>
      <c r="J68" s="41" t="s">
        <v>30</v>
      </c>
      <c r="K68" s="43">
        <v>55</v>
      </c>
    </row>
    <row r="69" spans="2:11" ht="21" x14ac:dyDescent="0.4">
      <c r="B69" s="18" t="s">
        <v>12</v>
      </c>
      <c r="C69" s="5">
        <v>47000</v>
      </c>
      <c r="D69" s="6"/>
      <c r="E69" s="5">
        <f>C69</f>
        <v>47000</v>
      </c>
      <c r="J69" s="41" t="s">
        <v>52</v>
      </c>
      <c r="K69" s="43">
        <v>60</v>
      </c>
    </row>
    <row r="70" spans="2:11" ht="21" x14ac:dyDescent="0.4">
      <c r="B70" s="4" t="s">
        <v>4</v>
      </c>
      <c r="C70" s="5">
        <v>60000</v>
      </c>
      <c r="D70" s="6"/>
      <c r="E70" s="5">
        <f>C70</f>
        <v>60000</v>
      </c>
      <c r="J70" s="41" t="s">
        <v>56</v>
      </c>
      <c r="K70" s="43">
        <v>65</v>
      </c>
    </row>
    <row r="71" spans="2:11" ht="21" x14ac:dyDescent="0.4">
      <c r="B71" s="4" t="s">
        <v>5</v>
      </c>
      <c r="C71" s="5">
        <v>30000</v>
      </c>
      <c r="D71" s="6"/>
      <c r="E71" s="5">
        <f>C71</f>
        <v>30000</v>
      </c>
      <c r="J71" s="41" t="s">
        <v>16</v>
      </c>
      <c r="K71" s="43">
        <v>60</v>
      </c>
    </row>
    <row r="72" spans="2:11" ht="21.6" thickBot="1" x14ac:dyDescent="0.45">
      <c r="B72" s="3" t="s">
        <v>6</v>
      </c>
      <c r="C72" s="2"/>
      <c r="E72" s="11">
        <f>E73*5%</f>
        <v>11100</v>
      </c>
      <c r="J72" s="42" t="s">
        <v>63</v>
      </c>
      <c r="K72" s="44">
        <v>15</v>
      </c>
    </row>
    <row r="73" spans="2:11" ht="21.6" thickBot="1" x14ac:dyDescent="0.45">
      <c r="B73" s="3" t="s">
        <v>7</v>
      </c>
      <c r="C73" s="2"/>
      <c r="E73" s="12">
        <f>E67+E69+E70+E71+E68</f>
        <v>222000</v>
      </c>
      <c r="K73" s="2">
        <f>SUM(K67:K72)</f>
        <v>370</v>
      </c>
    </row>
    <row r="74" spans="2:11" ht="21.6" thickTop="1" x14ac:dyDescent="0.4">
      <c r="B74" s="3" t="s">
        <v>8</v>
      </c>
      <c r="C74" s="2"/>
      <c r="E74" s="14">
        <f>E73+E72</f>
        <v>233100</v>
      </c>
    </row>
    <row r="75" spans="2:11" ht="21" x14ac:dyDescent="0.4">
      <c r="B75" s="3" t="s">
        <v>9</v>
      </c>
      <c r="C75" s="2"/>
      <c r="E75" s="14">
        <f>E74/3700</f>
        <v>63</v>
      </c>
    </row>
  </sheetData>
  <mergeCells count="1">
    <mergeCell ref="L39:L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255F2-2D1D-41B0-8BAA-4A2955BEF531}">
  <sheetPr>
    <tabColor theme="4" tint="-0.249977111117893"/>
  </sheetPr>
  <dimension ref="B2:J63"/>
  <sheetViews>
    <sheetView workbookViewId="0">
      <selection activeCell="H12" sqref="H12"/>
    </sheetView>
  </sheetViews>
  <sheetFormatPr baseColWidth="10" defaultRowHeight="14.4" x14ac:dyDescent="0.3"/>
  <cols>
    <col min="2" max="2" width="36.21875" bestFit="1" customWidth="1"/>
    <col min="3" max="4" width="13.5546875" bestFit="1" customWidth="1"/>
    <col min="5" max="5" width="12" bestFit="1" customWidth="1"/>
    <col min="7" max="7" width="34.44140625" bestFit="1" customWidth="1"/>
    <col min="8" max="8" width="17.109375" customWidth="1"/>
  </cols>
  <sheetData>
    <row r="2" spans="2:10" ht="21.6" thickBot="1" x14ac:dyDescent="0.45">
      <c r="B2" s="1" t="s">
        <v>0</v>
      </c>
      <c r="C2" s="2">
        <v>60</v>
      </c>
      <c r="D2" s="3"/>
    </row>
    <row r="3" spans="2:10" ht="31.8" thickBot="1" x14ac:dyDescent="0.45">
      <c r="B3" s="3"/>
      <c r="C3" s="2"/>
      <c r="D3" s="3" t="s">
        <v>1</v>
      </c>
      <c r="G3" s="80" t="s">
        <v>61</v>
      </c>
      <c r="H3" s="81" t="s">
        <v>62</v>
      </c>
    </row>
    <row r="4" spans="2:10" ht="21" x14ac:dyDescent="0.4">
      <c r="B4" s="4" t="s">
        <v>1</v>
      </c>
      <c r="C4" s="5">
        <v>950000</v>
      </c>
      <c r="D4" s="7">
        <f>C4/12</f>
        <v>79166.666666666672</v>
      </c>
      <c r="G4" s="56" t="s">
        <v>0</v>
      </c>
      <c r="H4" s="79">
        <v>60</v>
      </c>
    </row>
    <row r="5" spans="2:10" ht="21" x14ac:dyDescent="0.4">
      <c r="B5" s="4" t="s">
        <v>2</v>
      </c>
      <c r="C5" s="5">
        <v>300000</v>
      </c>
      <c r="D5" s="7">
        <f>C5/12</f>
        <v>25000</v>
      </c>
      <c r="G5" s="41" t="s">
        <v>10</v>
      </c>
      <c r="H5" s="43">
        <v>40</v>
      </c>
    </row>
    <row r="6" spans="2:10" ht="21" x14ac:dyDescent="0.4">
      <c r="B6" s="4" t="s">
        <v>3</v>
      </c>
      <c r="C6" s="10">
        <v>15000</v>
      </c>
      <c r="D6" s="7">
        <f>C6</f>
        <v>15000</v>
      </c>
      <c r="G6" s="41" t="s">
        <v>11</v>
      </c>
      <c r="H6" s="43">
        <v>50</v>
      </c>
    </row>
    <row r="7" spans="2:10" ht="21.6" thickBot="1" x14ac:dyDescent="0.45">
      <c r="B7" s="4" t="s">
        <v>4</v>
      </c>
      <c r="C7" s="5">
        <v>45000</v>
      </c>
      <c r="D7" s="7">
        <f>C7</f>
        <v>45000</v>
      </c>
      <c r="G7" s="42" t="s">
        <v>21</v>
      </c>
      <c r="H7" s="82">
        <v>15</v>
      </c>
    </row>
    <row r="8" spans="2:10" ht="24" thickBot="1" x14ac:dyDescent="0.5">
      <c r="B8" s="4" t="s">
        <v>5</v>
      </c>
      <c r="C8" s="5">
        <v>30000</v>
      </c>
      <c r="D8" s="7">
        <f>C8</f>
        <v>30000</v>
      </c>
      <c r="G8" s="84" t="s">
        <v>68</v>
      </c>
      <c r="H8" s="83">
        <f>SUM(H4:H7)</f>
        <v>165</v>
      </c>
      <c r="I8" s="19"/>
      <c r="J8" s="19"/>
    </row>
    <row r="9" spans="2:10" ht="21" x14ac:dyDescent="0.4">
      <c r="B9" s="3" t="s">
        <v>6</v>
      </c>
      <c r="C9" s="2"/>
      <c r="D9" s="11">
        <f>D10*5%</f>
        <v>9708.3333333333339</v>
      </c>
    </row>
    <row r="10" spans="2:10" ht="21.6" thickBot="1" x14ac:dyDescent="0.45">
      <c r="B10" s="3" t="s">
        <v>7</v>
      </c>
      <c r="C10" s="2"/>
      <c r="D10" s="12">
        <f>D4+D5+D6+D7+D8</f>
        <v>194166.66666666669</v>
      </c>
    </row>
    <row r="11" spans="2:10" ht="21.6" thickTop="1" x14ac:dyDescent="0.4">
      <c r="B11" s="3" t="s">
        <v>8</v>
      </c>
      <c r="C11" s="2"/>
      <c r="D11" s="14">
        <f>D10+D9</f>
        <v>203875.00000000003</v>
      </c>
      <c r="G11" s="60" t="s">
        <v>198</v>
      </c>
      <c r="H11" s="19">
        <f>700000+850000+480000+240000</f>
        <v>2270000</v>
      </c>
    </row>
    <row r="12" spans="2:10" ht="21" x14ac:dyDescent="0.4">
      <c r="B12" s="3" t="s">
        <v>9</v>
      </c>
      <c r="C12" s="2"/>
      <c r="D12" s="14">
        <f>D11/3500</f>
        <v>58.250000000000007</v>
      </c>
      <c r="G12" s="60" t="s">
        <v>199</v>
      </c>
      <c r="H12" s="19">
        <f>38000*15</f>
        <v>570000</v>
      </c>
    </row>
    <row r="13" spans="2:10" ht="21" x14ac:dyDescent="0.4">
      <c r="B13" s="3"/>
      <c r="C13" s="2"/>
      <c r="D13" s="3"/>
      <c r="G13" s="60" t="s">
        <v>200</v>
      </c>
      <c r="H13" s="19">
        <f>200000</f>
        <v>200000</v>
      </c>
    </row>
    <row r="14" spans="2:10" ht="21" x14ac:dyDescent="0.4">
      <c r="G14" s="60" t="s">
        <v>201</v>
      </c>
      <c r="H14" s="19">
        <v>780000</v>
      </c>
    </row>
    <row r="15" spans="2:10" ht="21" x14ac:dyDescent="0.4">
      <c r="B15" s="15" t="s">
        <v>10</v>
      </c>
      <c r="C15" s="16">
        <v>40</v>
      </c>
      <c r="D15" s="2"/>
      <c r="G15" s="60" t="s">
        <v>202</v>
      </c>
      <c r="H15" s="19">
        <v>140000</v>
      </c>
    </row>
    <row r="16" spans="2:10" ht="21" x14ac:dyDescent="0.4">
      <c r="B16" s="3"/>
      <c r="C16" s="2"/>
      <c r="D16" s="3" t="s">
        <v>1</v>
      </c>
      <c r="H16" s="19">
        <f>H11+H12+H13+H14+H15</f>
        <v>3960000</v>
      </c>
    </row>
    <row r="17" spans="2:4" ht="21" x14ac:dyDescent="0.4">
      <c r="B17" s="4" t="s">
        <v>1</v>
      </c>
      <c r="C17" s="5">
        <v>900000</v>
      </c>
      <c r="D17" s="5">
        <f>C17/12</f>
        <v>75000</v>
      </c>
    </row>
    <row r="18" spans="2:4" ht="21" x14ac:dyDescent="0.4">
      <c r="B18" s="4" t="s">
        <v>5</v>
      </c>
      <c r="C18" s="5">
        <v>10000</v>
      </c>
      <c r="D18" s="5">
        <f>C18</f>
        <v>10000</v>
      </c>
    </row>
    <row r="19" spans="2:4" ht="21" x14ac:dyDescent="0.4">
      <c r="B19" s="4" t="s">
        <v>2</v>
      </c>
      <c r="C19" s="5">
        <v>150000</v>
      </c>
      <c r="D19" s="5">
        <f>C19/9</f>
        <v>16666.666666666668</v>
      </c>
    </row>
    <row r="20" spans="2:4" ht="21" x14ac:dyDescent="0.4">
      <c r="B20" s="3" t="s">
        <v>6</v>
      </c>
      <c r="C20" s="2"/>
      <c r="D20" s="11">
        <f>D21*10%</f>
        <v>10166.666666666668</v>
      </c>
    </row>
    <row r="21" spans="2:4" ht="21.6" thickBot="1" x14ac:dyDescent="0.45">
      <c r="B21" s="3" t="s">
        <v>7</v>
      </c>
      <c r="C21" s="2"/>
      <c r="D21" s="12">
        <f>D17+D18+D19</f>
        <v>101666.66666666667</v>
      </c>
    </row>
    <row r="22" spans="2:4" ht="21.6" thickTop="1" x14ac:dyDescent="0.4">
      <c r="B22" s="3" t="s">
        <v>8</v>
      </c>
      <c r="C22" s="2"/>
      <c r="D22" s="14">
        <f>D21+D20</f>
        <v>111833.33333333334</v>
      </c>
    </row>
    <row r="23" spans="2:4" ht="21" x14ac:dyDescent="0.4">
      <c r="B23" s="3" t="s">
        <v>9</v>
      </c>
      <c r="C23" s="2"/>
      <c r="D23" s="17">
        <f>D22/3500</f>
        <v>31.952380952380956</v>
      </c>
    </row>
    <row r="29" spans="2:4" ht="21" x14ac:dyDescent="0.4">
      <c r="B29" s="1" t="s">
        <v>11</v>
      </c>
      <c r="C29" s="2">
        <v>50</v>
      </c>
      <c r="D29" s="2"/>
    </row>
    <row r="30" spans="2:4" ht="21" x14ac:dyDescent="0.4">
      <c r="B30" s="3"/>
      <c r="C30" s="2"/>
      <c r="D30" s="3" t="s">
        <v>1</v>
      </c>
    </row>
    <row r="31" spans="2:4" ht="21" x14ac:dyDescent="0.4">
      <c r="B31" s="4" t="s">
        <v>1</v>
      </c>
      <c r="C31" s="5">
        <v>900000</v>
      </c>
      <c r="D31" s="5">
        <f>C31/12</f>
        <v>75000</v>
      </c>
    </row>
    <row r="32" spans="2:4" ht="21" x14ac:dyDescent="0.4">
      <c r="B32" s="4" t="s">
        <v>2</v>
      </c>
      <c r="C32" s="5">
        <v>300000</v>
      </c>
      <c r="D32" s="5">
        <f>C32/9</f>
        <v>33333.333333333336</v>
      </c>
    </row>
    <row r="33" spans="2:4" ht="21" x14ac:dyDescent="0.4">
      <c r="B33" s="18" t="s">
        <v>12</v>
      </c>
      <c r="C33" s="5">
        <v>10000</v>
      </c>
      <c r="D33" s="5">
        <f>C33</f>
        <v>10000</v>
      </c>
    </row>
    <row r="34" spans="2:4" ht="21" x14ac:dyDescent="0.4">
      <c r="B34" s="4" t="s">
        <v>22</v>
      </c>
      <c r="C34" s="5">
        <v>5000</v>
      </c>
      <c r="D34" s="5">
        <f>C34</f>
        <v>5000</v>
      </c>
    </row>
    <row r="35" spans="2:4" ht="21" x14ac:dyDescent="0.4">
      <c r="B35" s="4" t="s">
        <v>5</v>
      </c>
      <c r="C35" s="5">
        <v>25000</v>
      </c>
      <c r="D35" s="5">
        <f>C35</f>
        <v>25000</v>
      </c>
    </row>
    <row r="36" spans="2:4" ht="21" x14ac:dyDescent="0.4">
      <c r="B36" s="3" t="s">
        <v>6</v>
      </c>
      <c r="C36" s="2"/>
      <c r="D36" s="11">
        <f>D37*15%</f>
        <v>21500</v>
      </c>
    </row>
    <row r="37" spans="2:4" ht="21.6" thickBot="1" x14ac:dyDescent="0.45">
      <c r="B37" s="3" t="s">
        <v>7</v>
      </c>
      <c r="C37" s="2"/>
      <c r="D37" s="12">
        <f>D31+D32+D35+D33</f>
        <v>143333.33333333334</v>
      </c>
    </row>
    <row r="38" spans="2:4" ht="21.6" thickTop="1" x14ac:dyDescent="0.4">
      <c r="B38" s="3" t="s">
        <v>8</v>
      </c>
      <c r="C38" s="2"/>
      <c r="D38" s="14">
        <f>D37+D36</f>
        <v>164833.33333333334</v>
      </c>
    </row>
    <row r="39" spans="2:4" ht="21" x14ac:dyDescent="0.4">
      <c r="B39" s="3" t="s">
        <v>9</v>
      </c>
      <c r="C39" s="2"/>
      <c r="D39" s="14">
        <f>D38/3500</f>
        <v>47.095238095238095</v>
      </c>
    </row>
    <row r="42" spans="2:4" ht="21" x14ac:dyDescent="0.4">
      <c r="B42" s="1" t="s">
        <v>21</v>
      </c>
      <c r="C42" s="2">
        <v>15</v>
      </c>
      <c r="D42" s="2"/>
    </row>
    <row r="43" spans="2:4" ht="21" x14ac:dyDescent="0.4">
      <c r="B43" s="3"/>
      <c r="C43" s="2"/>
      <c r="D43" s="3" t="s">
        <v>1</v>
      </c>
    </row>
    <row r="44" spans="2:4" ht="21" x14ac:dyDescent="0.4">
      <c r="B44" s="4" t="s">
        <v>1</v>
      </c>
      <c r="C44" s="5">
        <v>240000</v>
      </c>
      <c r="D44" s="5">
        <f>C44/12</f>
        <v>20000</v>
      </c>
    </row>
    <row r="45" spans="2:4" ht="21" x14ac:dyDescent="0.4">
      <c r="B45" s="4" t="s">
        <v>2</v>
      </c>
      <c r="C45" s="5">
        <v>200000</v>
      </c>
      <c r="D45" s="5">
        <f>C45/9</f>
        <v>22222.222222222223</v>
      </c>
    </row>
    <row r="46" spans="2:4" ht="21" x14ac:dyDescent="0.4">
      <c r="B46" s="4" t="s">
        <v>5</v>
      </c>
      <c r="C46" s="5">
        <v>0</v>
      </c>
      <c r="D46" s="5">
        <f>C46</f>
        <v>0</v>
      </c>
    </row>
    <row r="47" spans="2:4" ht="21" x14ac:dyDescent="0.4">
      <c r="B47" s="3" t="s">
        <v>6</v>
      </c>
      <c r="C47" s="2"/>
      <c r="D47" s="11">
        <f>D48*15%</f>
        <v>6333.333333333333</v>
      </c>
    </row>
    <row r="48" spans="2:4" ht="21.6" thickBot="1" x14ac:dyDescent="0.45">
      <c r="B48" s="3" t="s">
        <v>7</v>
      </c>
      <c r="C48" s="2"/>
      <c r="D48" s="12">
        <f>D44+D45+D46</f>
        <v>42222.222222222219</v>
      </c>
    </row>
    <row r="49" spans="2:5" ht="21.6" thickTop="1" x14ac:dyDescent="0.4">
      <c r="B49" s="3" t="s">
        <v>8</v>
      </c>
      <c r="C49" s="2"/>
      <c r="D49" s="14">
        <f>D48+D47</f>
        <v>48555.555555555555</v>
      </c>
    </row>
    <row r="50" spans="2:5" ht="21" x14ac:dyDescent="0.4">
      <c r="B50" s="3" t="s">
        <v>9</v>
      </c>
      <c r="C50" s="2"/>
      <c r="D50" s="14">
        <f>D49/3500</f>
        <v>13.873015873015873</v>
      </c>
    </row>
    <row r="54" spans="2:5" ht="21" x14ac:dyDescent="0.4">
      <c r="B54" s="1" t="s">
        <v>109</v>
      </c>
      <c r="C54" s="2">
        <v>15</v>
      </c>
      <c r="D54" s="2"/>
    </row>
    <row r="55" spans="2:5" ht="21" x14ac:dyDescent="0.4">
      <c r="B55" s="3"/>
      <c r="C55" s="2"/>
      <c r="D55" s="3" t="s">
        <v>1</v>
      </c>
    </row>
    <row r="56" spans="2:5" ht="21" x14ac:dyDescent="0.4">
      <c r="B56" s="4" t="s">
        <v>1</v>
      </c>
      <c r="C56" s="5">
        <f>70000*6</f>
        <v>420000</v>
      </c>
      <c r="D56" s="5">
        <f>C56/12</f>
        <v>35000</v>
      </c>
      <c r="E56" s="5">
        <f>C56/12</f>
        <v>35000</v>
      </c>
    </row>
    <row r="57" spans="2:5" ht="21" x14ac:dyDescent="0.4">
      <c r="B57" s="4" t="s">
        <v>110</v>
      </c>
      <c r="C57" s="5">
        <v>70000</v>
      </c>
      <c r="D57" s="5">
        <f>C57</f>
        <v>70000</v>
      </c>
      <c r="E57" s="5">
        <f t="shared" ref="E57:E59" si="0">C57/12</f>
        <v>5833.333333333333</v>
      </c>
    </row>
    <row r="58" spans="2:5" ht="21" x14ac:dyDescent="0.4">
      <c r="B58" s="4" t="s">
        <v>2</v>
      </c>
      <c r="C58" s="5">
        <v>300000</v>
      </c>
      <c r="D58" s="5">
        <f>C58/12</f>
        <v>25000</v>
      </c>
      <c r="E58" s="5">
        <f t="shared" si="0"/>
        <v>25000</v>
      </c>
    </row>
    <row r="59" spans="2:5" ht="21" x14ac:dyDescent="0.4">
      <c r="B59" s="4" t="s">
        <v>5</v>
      </c>
      <c r="C59" s="5">
        <v>30000</v>
      </c>
      <c r="D59" s="5">
        <f>C59</f>
        <v>30000</v>
      </c>
      <c r="E59" s="5">
        <f t="shared" si="0"/>
        <v>2500</v>
      </c>
    </row>
    <row r="60" spans="2:5" ht="21" x14ac:dyDescent="0.4">
      <c r="B60" s="3" t="s">
        <v>6</v>
      </c>
      <c r="C60" s="2"/>
      <c r="D60" s="11">
        <f>D61*15%</f>
        <v>24000</v>
      </c>
      <c r="E60" s="11">
        <f>E61*15%</f>
        <v>10250.000000000002</v>
      </c>
    </row>
    <row r="61" spans="2:5" ht="21.6" thickBot="1" x14ac:dyDescent="0.45">
      <c r="B61" s="3" t="s">
        <v>7</v>
      </c>
      <c r="C61" s="2"/>
      <c r="D61" s="12">
        <f>D56+D58+D59+D57</f>
        <v>160000</v>
      </c>
      <c r="E61" s="19">
        <f>E56+E57+E58+E59</f>
        <v>68333.333333333343</v>
      </c>
    </row>
    <row r="62" spans="2:5" ht="21.6" thickTop="1" x14ac:dyDescent="0.4">
      <c r="B62" s="3" t="s">
        <v>8</v>
      </c>
      <c r="C62" s="2"/>
      <c r="D62" s="14">
        <f>D61+D60</f>
        <v>184000</v>
      </c>
    </row>
    <row r="63" spans="2:5" ht="21" x14ac:dyDescent="0.4">
      <c r="B63" s="3" t="s">
        <v>9</v>
      </c>
      <c r="C63" s="2"/>
      <c r="D63" s="14">
        <f>D62/3500</f>
        <v>52.571428571428569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8B440-8D28-4F83-860C-93EEFEAF6F9E}">
  <sheetPr>
    <tabColor rgb="FFFFC000"/>
  </sheetPr>
  <dimension ref="A3:M123"/>
  <sheetViews>
    <sheetView tabSelected="1" topLeftCell="C23" workbookViewId="0">
      <selection activeCell="F31" sqref="F31"/>
    </sheetView>
  </sheetViews>
  <sheetFormatPr baseColWidth="10" defaultRowHeight="14.4" x14ac:dyDescent="0.3"/>
  <cols>
    <col min="1" max="1" width="36.88671875" bestFit="1" customWidth="1"/>
    <col min="2" max="2" width="15.88671875" bestFit="1" customWidth="1"/>
    <col min="4" max="5" width="13.5546875" bestFit="1" customWidth="1"/>
    <col min="6" max="6" width="36.21875" bestFit="1" customWidth="1"/>
    <col min="7" max="7" width="13.5546875" bestFit="1" customWidth="1"/>
    <col min="9" max="9" width="35.21875" bestFit="1" customWidth="1"/>
    <col min="10" max="10" width="13" bestFit="1" customWidth="1"/>
  </cols>
  <sheetData>
    <row r="3" spans="1:13" ht="15" thickBot="1" x14ac:dyDescent="0.35"/>
    <row r="4" spans="1:13" ht="21.6" thickBot="1" x14ac:dyDescent="0.45">
      <c r="A4" s="1" t="s">
        <v>70</v>
      </c>
      <c r="B4" s="2"/>
      <c r="D4" s="3"/>
      <c r="E4" s="3"/>
      <c r="F4" s="3"/>
      <c r="I4" s="195" t="s">
        <v>82</v>
      </c>
      <c r="J4" s="197"/>
      <c r="K4" s="196"/>
    </row>
    <row r="5" spans="1:13" ht="28.8" x14ac:dyDescent="0.5">
      <c r="A5" s="3"/>
      <c r="B5" s="19"/>
      <c r="D5" s="3" t="s">
        <v>1</v>
      </c>
      <c r="E5" s="3" t="s">
        <v>71</v>
      </c>
      <c r="F5" s="3" t="s">
        <v>72</v>
      </c>
      <c r="I5" s="86" t="s">
        <v>43</v>
      </c>
      <c r="J5" s="87" t="s">
        <v>62</v>
      </c>
      <c r="K5" s="87" t="s">
        <v>62</v>
      </c>
    </row>
    <row r="6" spans="1:13" ht="21" x14ac:dyDescent="0.4">
      <c r="A6" s="4" t="s">
        <v>1</v>
      </c>
      <c r="B6" s="5">
        <v>1100000</v>
      </c>
      <c r="C6" s="6"/>
      <c r="D6" s="5">
        <f>B6/11</f>
        <v>100000</v>
      </c>
      <c r="E6" s="4"/>
      <c r="F6" s="4"/>
      <c r="I6" s="4" t="s">
        <v>79</v>
      </c>
      <c r="J6" s="92" t="s">
        <v>86</v>
      </c>
      <c r="K6" s="85">
        <v>90</v>
      </c>
    </row>
    <row r="7" spans="1:13" ht="21" x14ac:dyDescent="0.4">
      <c r="A7" s="4" t="s">
        <v>71</v>
      </c>
      <c r="B7" s="5">
        <v>1200000</v>
      </c>
      <c r="C7" s="6"/>
      <c r="D7" s="4"/>
      <c r="E7" s="5">
        <f>B7/10</f>
        <v>120000</v>
      </c>
      <c r="F7" s="4"/>
      <c r="I7" s="4" t="s">
        <v>80</v>
      </c>
      <c r="J7" s="4">
        <v>95</v>
      </c>
      <c r="K7" s="4">
        <v>95</v>
      </c>
    </row>
    <row r="8" spans="1:13" ht="21" x14ac:dyDescent="0.4">
      <c r="A8" s="4" t="s">
        <v>72</v>
      </c>
      <c r="B8" s="5">
        <v>800000</v>
      </c>
      <c r="C8" s="6"/>
      <c r="D8" s="4"/>
      <c r="E8" s="4"/>
      <c r="F8" s="5">
        <f>B8/5</f>
        <v>160000</v>
      </c>
      <c r="I8" s="4" t="s">
        <v>81</v>
      </c>
      <c r="J8" s="4">
        <v>100</v>
      </c>
      <c r="K8" s="4">
        <v>100</v>
      </c>
      <c r="M8" s="3"/>
    </row>
    <row r="9" spans="1:13" ht="21.6" thickBot="1" x14ac:dyDescent="0.45">
      <c r="A9" s="64" t="s">
        <v>73</v>
      </c>
      <c r="B9" s="65">
        <v>0</v>
      </c>
      <c r="C9" s="66"/>
      <c r="D9" s="64"/>
      <c r="E9" s="64"/>
      <c r="F9" s="64"/>
      <c r="I9" s="4" t="s">
        <v>28</v>
      </c>
      <c r="J9" s="89">
        <v>40</v>
      </c>
      <c r="K9" s="89">
        <v>40</v>
      </c>
    </row>
    <row r="10" spans="1:13" ht="21.6" thickBot="1" x14ac:dyDescent="0.45">
      <c r="A10" s="4" t="s">
        <v>2</v>
      </c>
      <c r="B10" s="5">
        <v>200000</v>
      </c>
      <c r="C10" s="6"/>
      <c r="D10" s="5">
        <f>B10/15</f>
        <v>13333.333333333334</v>
      </c>
      <c r="E10" s="5">
        <f>B10/11</f>
        <v>18181.81818181818</v>
      </c>
      <c r="F10" s="5">
        <f>B10/5</f>
        <v>40000</v>
      </c>
      <c r="I10" s="9" t="s">
        <v>83</v>
      </c>
      <c r="J10" s="91">
        <f>SUM(J7:J9)</f>
        <v>235</v>
      </c>
      <c r="K10" s="88">
        <f>SUM(K6:K9)</f>
        <v>325</v>
      </c>
    </row>
    <row r="11" spans="1:13" ht="21.6" thickBot="1" x14ac:dyDescent="0.45">
      <c r="A11" s="8" t="s">
        <v>12</v>
      </c>
      <c r="B11" s="5"/>
      <c r="C11" s="6"/>
      <c r="D11" s="4"/>
      <c r="E11" s="4"/>
      <c r="F11" s="4"/>
      <c r="I11" s="3"/>
    </row>
    <row r="12" spans="1:13" ht="21.6" thickBot="1" x14ac:dyDescent="0.45">
      <c r="A12" s="4" t="s">
        <v>74</v>
      </c>
      <c r="B12" s="5">
        <v>65000</v>
      </c>
      <c r="C12" s="6"/>
      <c r="D12" s="5">
        <f>B12</f>
        <v>65000</v>
      </c>
      <c r="E12" s="5">
        <f>B12</f>
        <v>65000</v>
      </c>
      <c r="F12" s="5">
        <f>B12</f>
        <v>65000</v>
      </c>
      <c r="I12" s="195" t="s">
        <v>85</v>
      </c>
      <c r="J12" s="196"/>
    </row>
    <row r="13" spans="1:13" ht="28.8" x14ac:dyDescent="0.5">
      <c r="A13" s="4" t="s">
        <v>4</v>
      </c>
      <c r="B13" s="5">
        <v>0</v>
      </c>
      <c r="C13" s="6"/>
      <c r="D13" s="5">
        <f>B13</f>
        <v>0</v>
      </c>
      <c r="E13" s="5">
        <f>B13</f>
        <v>0</v>
      </c>
      <c r="F13" s="5">
        <f>B13</f>
        <v>0</v>
      </c>
      <c r="I13" s="86" t="s">
        <v>43</v>
      </c>
      <c r="J13" s="87" t="s">
        <v>62</v>
      </c>
    </row>
    <row r="14" spans="1:13" ht="21" x14ac:dyDescent="0.4">
      <c r="A14" s="4" t="s">
        <v>5</v>
      </c>
      <c r="B14" s="5">
        <v>0</v>
      </c>
      <c r="C14" s="6"/>
      <c r="D14" s="5">
        <f>B14</f>
        <v>0</v>
      </c>
      <c r="E14" s="5">
        <f>B14</f>
        <v>0</v>
      </c>
      <c r="F14" s="5">
        <f>B14</f>
        <v>0</v>
      </c>
      <c r="I14" s="4" t="s">
        <v>0</v>
      </c>
      <c r="J14" s="4">
        <v>65</v>
      </c>
    </row>
    <row r="15" spans="1:13" ht="21" x14ac:dyDescent="0.4">
      <c r="A15" s="3" t="s">
        <v>6</v>
      </c>
      <c r="B15" s="2"/>
      <c r="D15" s="11">
        <f>D16*15%</f>
        <v>26749.999999999996</v>
      </c>
      <c r="E15" s="11">
        <f>E16*15%</f>
        <v>30477.272727272724</v>
      </c>
      <c r="F15" s="11">
        <f>F16*15%</f>
        <v>39750</v>
      </c>
      <c r="I15" s="4" t="s">
        <v>11</v>
      </c>
      <c r="J15" s="4">
        <v>60</v>
      </c>
    </row>
    <row r="16" spans="1:13" ht="21.6" thickBot="1" x14ac:dyDescent="0.45">
      <c r="A16" s="3" t="s">
        <v>7</v>
      </c>
      <c r="B16" s="2"/>
      <c r="D16" s="12">
        <f>D6+D10+D12+D13+D14</f>
        <v>178333.33333333331</v>
      </c>
      <c r="E16" s="12">
        <f>E7+E10+E12+E13+E14</f>
        <v>203181.81818181818</v>
      </c>
      <c r="F16" s="12">
        <f>F8+F10+F12+F13+F14</f>
        <v>265000</v>
      </c>
      <c r="I16" s="4" t="s">
        <v>28</v>
      </c>
      <c r="J16" s="4">
        <v>30</v>
      </c>
    </row>
    <row r="17" spans="1:12" ht="21.6" thickTop="1" x14ac:dyDescent="0.4">
      <c r="A17" s="3" t="s">
        <v>8</v>
      </c>
      <c r="B17" s="2"/>
      <c r="D17" s="14">
        <f>D16+D15</f>
        <v>205083.33333333331</v>
      </c>
      <c r="E17" s="14">
        <f>E16+E15</f>
        <v>233659.09090909091</v>
      </c>
      <c r="F17" s="14">
        <f>F16+F15</f>
        <v>304750</v>
      </c>
    </row>
    <row r="18" spans="1:12" ht="21" x14ac:dyDescent="0.4">
      <c r="A18" s="3" t="s">
        <v>9</v>
      </c>
      <c r="B18" s="2"/>
      <c r="D18" s="14">
        <f>D17/3200</f>
        <v>64.088541666666657</v>
      </c>
      <c r="E18" s="14">
        <f>E17/3200</f>
        <v>73.018465909090907</v>
      </c>
      <c r="F18" s="14">
        <f>F17/3200</f>
        <v>95.234375</v>
      </c>
    </row>
    <row r="19" spans="1:12" ht="21" x14ac:dyDescent="0.4">
      <c r="I19" s="3" t="s">
        <v>198</v>
      </c>
      <c r="J19" s="19">
        <f>B25+B44+B6</f>
        <v>2433334</v>
      </c>
    </row>
    <row r="20" spans="1:12" ht="21" x14ac:dyDescent="0.4">
      <c r="I20" s="3" t="s">
        <v>212</v>
      </c>
      <c r="J20" s="19">
        <f>B33+B49</f>
        <v>110000</v>
      </c>
    </row>
    <row r="21" spans="1:12" ht="21" x14ac:dyDescent="0.4">
      <c r="I21" s="3" t="s">
        <v>202</v>
      </c>
      <c r="J21" s="19">
        <f>B32+B48</f>
        <v>128000</v>
      </c>
    </row>
    <row r="23" spans="1:12" ht="21" x14ac:dyDescent="0.4">
      <c r="A23" s="1" t="s">
        <v>75</v>
      </c>
      <c r="B23" s="2"/>
      <c r="D23" s="3"/>
      <c r="E23" s="3"/>
      <c r="F23" s="3"/>
    </row>
    <row r="24" spans="1:12" ht="21" x14ac:dyDescent="0.4">
      <c r="A24" s="3"/>
      <c r="B24" s="19"/>
      <c r="D24" s="3" t="s">
        <v>1</v>
      </c>
      <c r="E24" s="3"/>
      <c r="F24" s="3"/>
      <c r="I24" s="199" t="s">
        <v>227</v>
      </c>
      <c r="J24" s="199"/>
      <c r="K24" s="199"/>
      <c r="L24" s="199"/>
    </row>
    <row r="25" spans="1:12" ht="21" x14ac:dyDescent="0.4">
      <c r="A25" s="4" t="s">
        <v>1</v>
      </c>
      <c r="B25" s="5">
        <v>666667</v>
      </c>
      <c r="C25" s="6"/>
      <c r="D25" s="5">
        <f>B25/11</f>
        <v>60606.090909090912</v>
      </c>
      <c r="E25" s="3"/>
      <c r="F25" s="3"/>
    </row>
    <row r="26" spans="1:12" ht="21" x14ac:dyDescent="0.4">
      <c r="A26" s="4"/>
      <c r="B26" s="5"/>
      <c r="C26" s="6"/>
      <c r="D26" s="4"/>
      <c r="E26" s="2"/>
      <c r="F26" s="3"/>
      <c r="I26" s="198" t="s">
        <v>82</v>
      </c>
      <c r="J26" s="198"/>
      <c r="K26" s="198"/>
      <c r="L26" s="198"/>
    </row>
    <row r="27" spans="1:12" ht="21" x14ac:dyDescent="0.4">
      <c r="A27" s="4"/>
      <c r="B27" s="5"/>
      <c r="C27" s="6"/>
      <c r="D27" s="4"/>
      <c r="E27" s="3"/>
      <c r="F27" s="2"/>
      <c r="J27" t="s">
        <v>218</v>
      </c>
      <c r="K27" t="s">
        <v>219</v>
      </c>
      <c r="L27" t="s">
        <v>28</v>
      </c>
    </row>
    <row r="28" spans="1:12" ht="21" x14ac:dyDescent="0.4">
      <c r="A28" s="64"/>
      <c r="B28" s="65"/>
      <c r="C28" s="66"/>
      <c r="D28" s="64"/>
      <c r="E28" s="90"/>
      <c r="F28" s="90"/>
      <c r="I28" t="s">
        <v>204</v>
      </c>
      <c r="J28" s="19">
        <v>500000</v>
      </c>
      <c r="K28" s="19">
        <v>500000</v>
      </c>
      <c r="L28" s="19">
        <v>150000</v>
      </c>
    </row>
    <row r="29" spans="1:12" ht="21" x14ac:dyDescent="0.4">
      <c r="A29" s="4" t="s">
        <v>2</v>
      </c>
      <c r="B29" s="5">
        <v>400000</v>
      </c>
      <c r="C29" s="6"/>
      <c r="D29" s="5">
        <f>B29/20</f>
        <v>20000</v>
      </c>
      <c r="E29" s="2"/>
      <c r="F29" s="2"/>
      <c r="I29" t="s">
        <v>100</v>
      </c>
      <c r="J29" s="188">
        <f>2000000/3</f>
        <v>666666.66666666663</v>
      </c>
      <c r="K29" s="188">
        <f>2000000/3</f>
        <v>666666.66666666663</v>
      </c>
      <c r="L29" s="188">
        <f>2000000/3</f>
        <v>666666.66666666663</v>
      </c>
    </row>
    <row r="30" spans="1:12" ht="21" x14ac:dyDescent="0.4">
      <c r="A30" s="8" t="s">
        <v>12</v>
      </c>
      <c r="B30" s="5"/>
      <c r="C30" s="6"/>
      <c r="D30" s="4"/>
      <c r="E30" s="3"/>
      <c r="F30" s="3"/>
      <c r="I30" t="s">
        <v>4</v>
      </c>
      <c r="J30" s="19">
        <f>60000*22</f>
        <v>1320000</v>
      </c>
      <c r="K30" s="19">
        <f>50000*22</f>
        <v>1100000</v>
      </c>
    </row>
    <row r="31" spans="1:12" ht="21" x14ac:dyDescent="0.4">
      <c r="A31" s="4" t="s">
        <v>76</v>
      </c>
      <c r="B31" s="5">
        <v>10000</v>
      </c>
      <c r="C31" s="6"/>
      <c r="D31" s="5">
        <f>B31</f>
        <v>10000</v>
      </c>
      <c r="E31" s="2"/>
      <c r="F31" s="2"/>
      <c r="I31" t="s">
        <v>220</v>
      </c>
      <c r="J31" s="19">
        <f>5000*22</f>
        <v>110000</v>
      </c>
      <c r="K31" s="188">
        <f>2200000</f>
        <v>2200000</v>
      </c>
    </row>
    <row r="32" spans="1:12" ht="21" x14ac:dyDescent="0.4">
      <c r="A32" s="18" t="s">
        <v>77</v>
      </c>
      <c r="B32" s="5">
        <v>30000</v>
      </c>
      <c r="C32" s="6"/>
      <c r="D32" s="5">
        <f>B32</f>
        <v>30000</v>
      </c>
      <c r="E32" s="2"/>
      <c r="F32" s="2"/>
      <c r="I32" t="s">
        <v>77</v>
      </c>
      <c r="J32" s="188">
        <v>567000</v>
      </c>
    </row>
    <row r="33" spans="1:12" ht="21" x14ac:dyDescent="0.4">
      <c r="A33" s="18" t="s">
        <v>4</v>
      </c>
      <c r="B33" s="5">
        <v>60000</v>
      </c>
      <c r="C33" s="6"/>
      <c r="D33" s="5">
        <f>B33</f>
        <v>60000</v>
      </c>
      <c r="E33" s="2"/>
      <c r="F33" s="2"/>
      <c r="I33" t="s">
        <v>221</v>
      </c>
      <c r="J33" s="19">
        <f>5*170000</f>
        <v>850000</v>
      </c>
    </row>
    <row r="34" spans="1:12" ht="21" x14ac:dyDescent="0.4">
      <c r="A34" s="4" t="s">
        <v>5</v>
      </c>
      <c r="B34" s="5">
        <v>5000</v>
      </c>
      <c r="C34" s="6"/>
      <c r="D34" s="5">
        <f>B34</f>
        <v>5000</v>
      </c>
      <c r="E34" s="2"/>
      <c r="F34" s="2"/>
      <c r="I34" t="s">
        <v>222</v>
      </c>
      <c r="J34" s="19">
        <f>SUM(J28:J33)</f>
        <v>4013666.6666666665</v>
      </c>
      <c r="K34" s="19">
        <f t="shared" ref="K34" si="0">SUM(K28:K33)</f>
        <v>4466666.666666666</v>
      </c>
      <c r="L34" s="19">
        <f>SUM(L28:L33)</f>
        <v>816666.66666666663</v>
      </c>
    </row>
    <row r="35" spans="1:12" ht="21" x14ac:dyDescent="0.4">
      <c r="A35" s="3" t="s">
        <v>6</v>
      </c>
      <c r="B35" s="2"/>
      <c r="D35" s="11">
        <f>D36*15%</f>
        <v>27840.913636363635</v>
      </c>
      <c r="E35" s="2"/>
      <c r="F35" s="2"/>
      <c r="I35" t="s">
        <v>223</v>
      </c>
      <c r="L35" s="19">
        <f>J34+K34+L34</f>
        <v>9296999.9999999981</v>
      </c>
    </row>
    <row r="36" spans="1:12" ht="21.6" thickBot="1" x14ac:dyDescent="0.45">
      <c r="A36" s="3" t="s">
        <v>7</v>
      </c>
      <c r="B36" s="2"/>
      <c r="D36" s="12">
        <f>D25+D29+D31+D33+D34+D32</f>
        <v>185606.09090909091</v>
      </c>
      <c r="E36" s="13"/>
      <c r="F36" s="13"/>
    </row>
    <row r="37" spans="1:12" ht="21.6" thickTop="1" x14ac:dyDescent="0.4">
      <c r="A37" s="3" t="s">
        <v>8</v>
      </c>
      <c r="B37" s="2"/>
      <c r="D37" s="14">
        <f>D36+D35</f>
        <v>213447.00454545455</v>
      </c>
      <c r="E37" s="14"/>
      <c r="F37" s="14"/>
      <c r="I37" s="19">
        <f>2440*3900</f>
        <v>9516000</v>
      </c>
    </row>
    <row r="38" spans="1:12" ht="21" x14ac:dyDescent="0.4">
      <c r="A38" s="3" t="s">
        <v>9</v>
      </c>
      <c r="B38" s="2"/>
      <c r="D38" s="14">
        <f>D37/3200</f>
        <v>66.702188920454546</v>
      </c>
      <c r="E38" s="14"/>
      <c r="F38" s="14"/>
    </row>
    <row r="39" spans="1:12" x14ac:dyDescent="0.3">
      <c r="I39" s="198" t="s">
        <v>25</v>
      </c>
      <c r="J39" s="198"/>
      <c r="K39" s="198"/>
    </row>
    <row r="40" spans="1:12" x14ac:dyDescent="0.3">
      <c r="J40" t="s">
        <v>218</v>
      </c>
      <c r="K40" t="s">
        <v>224</v>
      </c>
    </row>
    <row r="41" spans="1:12" x14ac:dyDescent="0.3">
      <c r="I41" t="s">
        <v>204</v>
      </c>
      <c r="J41" s="19">
        <v>500000</v>
      </c>
      <c r="K41" s="19">
        <v>500000</v>
      </c>
      <c r="L41" s="19"/>
    </row>
    <row r="42" spans="1:12" ht="21" x14ac:dyDescent="0.4">
      <c r="A42" s="67" t="s">
        <v>84</v>
      </c>
      <c r="B42" s="68"/>
      <c r="C42" s="69"/>
      <c r="D42" s="70"/>
      <c r="E42" s="70"/>
      <c r="F42" s="70"/>
      <c r="I42" t="s">
        <v>100</v>
      </c>
      <c r="J42" s="19">
        <v>240000</v>
      </c>
      <c r="K42" s="189">
        <v>700000</v>
      </c>
      <c r="L42" s="19" t="s">
        <v>226</v>
      </c>
    </row>
    <row r="43" spans="1:12" ht="21" x14ac:dyDescent="0.4">
      <c r="A43" s="70"/>
      <c r="B43" s="71"/>
      <c r="C43" s="69"/>
      <c r="D43" s="70" t="s">
        <v>1</v>
      </c>
      <c r="E43" s="70"/>
      <c r="F43" s="70"/>
      <c r="I43" t="s">
        <v>4</v>
      </c>
      <c r="K43" s="19">
        <v>300000</v>
      </c>
    </row>
    <row r="44" spans="1:12" ht="21" x14ac:dyDescent="0.4">
      <c r="A44" s="72" t="s">
        <v>1</v>
      </c>
      <c r="B44" s="73">
        <v>666667</v>
      </c>
      <c r="C44" s="74"/>
      <c r="D44" s="73">
        <f>B44/20</f>
        <v>33333.35</v>
      </c>
      <c r="E44" s="70"/>
      <c r="F44" s="70"/>
      <c r="I44" t="s">
        <v>225</v>
      </c>
      <c r="J44" s="19">
        <f>60000+50000</f>
        <v>110000</v>
      </c>
    </row>
    <row r="45" spans="1:12" ht="21" x14ac:dyDescent="0.4">
      <c r="A45" s="72" t="s">
        <v>2</v>
      </c>
      <c r="B45" s="73">
        <v>500000</v>
      </c>
      <c r="C45" s="74"/>
      <c r="D45" s="73">
        <f>B45/15</f>
        <v>33333.333333333336</v>
      </c>
      <c r="E45" s="68"/>
      <c r="F45" s="68"/>
      <c r="I45" t="s">
        <v>3</v>
      </c>
      <c r="J45" s="19"/>
      <c r="K45" s="19">
        <v>150000</v>
      </c>
    </row>
    <row r="46" spans="1:12" ht="21" x14ac:dyDescent="0.4">
      <c r="A46" s="75" t="s">
        <v>12</v>
      </c>
      <c r="B46" s="73"/>
      <c r="C46" s="74"/>
      <c r="D46" s="72"/>
      <c r="E46" s="70"/>
      <c r="F46" s="70"/>
      <c r="I46" t="s">
        <v>221</v>
      </c>
      <c r="J46" s="19"/>
    </row>
    <row r="47" spans="1:12" ht="21" x14ac:dyDescent="0.4">
      <c r="A47" s="72"/>
      <c r="B47" s="73"/>
      <c r="C47" s="74"/>
      <c r="D47" s="73"/>
      <c r="E47" s="68"/>
      <c r="F47" s="68"/>
      <c r="I47" t="s">
        <v>222</v>
      </c>
      <c r="J47" s="19">
        <f>SUM(J41:J46)</f>
        <v>850000</v>
      </c>
      <c r="K47" s="19">
        <f t="shared" ref="K47" si="1">SUM(K41:K46)</f>
        <v>1650000</v>
      </c>
      <c r="L47" s="19"/>
    </row>
    <row r="48" spans="1:12" ht="21" x14ac:dyDescent="0.4">
      <c r="A48" s="72" t="s">
        <v>78</v>
      </c>
      <c r="B48" s="73">
        <v>98000</v>
      </c>
      <c r="C48" s="74"/>
      <c r="D48" s="73">
        <f>B48</f>
        <v>98000</v>
      </c>
      <c r="E48" s="68"/>
      <c r="F48" s="68"/>
      <c r="I48" t="s">
        <v>223</v>
      </c>
      <c r="K48" s="19">
        <f>J47+K47+L47</f>
        <v>2500000</v>
      </c>
    </row>
    <row r="49" spans="1:10" ht="21" x14ac:dyDescent="0.4">
      <c r="A49" s="72" t="s">
        <v>4</v>
      </c>
      <c r="B49" s="73">
        <v>50000</v>
      </c>
      <c r="C49" s="74"/>
      <c r="D49" s="73">
        <f>B49</f>
        <v>50000</v>
      </c>
      <c r="E49" s="68"/>
      <c r="F49" s="68"/>
    </row>
    <row r="50" spans="1:10" ht="21" x14ac:dyDescent="0.4">
      <c r="A50" s="72" t="s">
        <v>5</v>
      </c>
      <c r="B50" s="73">
        <v>15000</v>
      </c>
      <c r="C50" s="74"/>
      <c r="D50" s="73">
        <f>B50</f>
        <v>15000</v>
      </c>
      <c r="E50" s="68"/>
      <c r="F50" s="68"/>
      <c r="H50">
        <f>50000*22</f>
        <v>1100000</v>
      </c>
    </row>
    <row r="51" spans="1:10" ht="21" x14ac:dyDescent="0.4">
      <c r="A51" s="70" t="s">
        <v>6</v>
      </c>
      <c r="B51" s="68"/>
      <c r="C51" s="69"/>
      <c r="D51" s="76">
        <f>D52*15%</f>
        <v>34450.002500000002</v>
      </c>
      <c r="E51" s="68"/>
      <c r="F51" s="68"/>
    </row>
    <row r="52" spans="1:10" ht="21.6" thickBot="1" x14ac:dyDescent="0.45">
      <c r="A52" s="70" t="s">
        <v>7</v>
      </c>
      <c r="B52" s="68"/>
      <c r="C52" s="69"/>
      <c r="D52" s="77">
        <f>D44+D45+D48+D49+D50</f>
        <v>229666.68333333335</v>
      </c>
      <c r="E52" s="187"/>
      <c r="F52" s="187"/>
    </row>
    <row r="53" spans="1:10" ht="21.6" thickTop="1" x14ac:dyDescent="0.4">
      <c r="A53" s="70" t="s">
        <v>8</v>
      </c>
      <c r="B53" s="68"/>
      <c r="C53" s="69"/>
      <c r="D53" s="78">
        <f>D52+D51</f>
        <v>264116.68583333335</v>
      </c>
      <c r="E53" s="78"/>
      <c r="F53" s="78"/>
    </row>
    <row r="54" spans="1:10" ht="21" x14ac:dyDescent="0.4">
      <c r="A54" s="70" t="s">
        <v>9</v>
      </c>
      <c r="B54" s="68"/>
      <c r="C54" s="69"/>
      <c r="D54" s="78">
        <f>D53/3200</f>
        <v>82.536464322916672</v>
      </c>
      <c r="E54" s="78"/>
      <c r="F54" s="78"/>
    </row>
    <row r="56" spans="1:10" ht="21" x14ac:dyDescent="0.4">
      <c r="A56" s="194" t="s">
        <v>25</v>
      </c>
      <c r="B56" s="194"/>
      <c r="C56" s="194"/>
      <c r="D56" s="194"/>
      <c r="E56" s="194"/>
      <c r="F56" s="194"/>
    </row>
    <row r="57" spans="1:10" ht="15" thickBot="1" x14ac:dyDescent="0.35"/>
    <row r="58" spans="1:10" ht="21.6" thickBot="1" x14ac:dyDescent="0.45">
      <c r="A58" s="1" t="s">
        <v>0</v>
      </c>
      <c r="B58" s="2">
        <v>65</v>
      </c>
      <c r="D58" s="3"/>
      <c r="I58" s="195" t="s">
        <v>85</v>
      </c>
      <c r="J58" s="196"/>
    </row>
    <row r="59" spans="1:10" ht="28.8" x14ac:dyDescent="0.5">
      <c r="A59" s="3"/>
      <c r="B59" s="2"/>
      <c r="D59" s="3" t="s">
        <v>1</v>
      </c>
      <c r="I59" s="86" t="s">
        <v>43</v>
      </c>
      <c r="J59" s="87" t="s">
        <v>62</v>
      </c>
    </row>
    <row r="60" spans="1:10" ht="21" x14ac:dyDescent="0.4">
      <c r="A60" s="4" t="s">
        <v>1</v>
      </c>
      <c r="B60" s="5">
        <v>700000</v>
      </c>
      <c r="C60" s="6"/>
      <c r="D60" s="7">
        <f>B60/8</f>
        <v>87500</v>
      </c>
      <c r="E60" s="3"/>
      <c r="F60" s="3"/>
      <c r="I60" s="4" t="s">
        <v>0</v>
      </c>
      <c r="J60" s="4">
        <v>65</v>
      </c>
    </row>
    <row r="61" spans="1:10" ht="21" x14ac:dyDescent="0.4">
      <c r="A61" s="4" t="s">
        <v>2</v>
      </c>
      <c r="B61" s="5">
        <v>300000</v>
      </c>
      <c r="C61" s="6"/>
      <c r="D61" s="7">
        <f>B61/8</f>
        <v>37500</v>
      </c>
      <c r="E61" s="3"/>
      <c r="F61" s="3"/>
      <c r="I61" s="4" t="s">
        <v>11</v>
      </c>
      <c r="J61" s="4">
        <v>60</v>
      </c>
    </row>
    <row r="62" spans="1:10" ht="21" x14ac:dyDescent="0.4">
      <c r="A62" s="4" t="s">
        <v>3</v>
      </c>
      <c r="B62" s="10">
        <v>15000</v>
      </c>
      <c r="C62" s="6"/>
      <c r="D62" s="7">
        <f>B62</f>
        <v>15000</v>
      </c>
      <c r="E62" s="3"/>
      <c r="F62" s="3"/>
      <c r="I62" s="4" t="s">
        <v>28</v>
      </c>
      <c r="J62" s="4">
        <v>30</v>
      </c>
    </row>
    <row r="63" spans="1:10" ht="21" x14ac:dyDescent="0.4">
      <c r="A63" s="4" t="s">
        <v>4</v>
      </c>
      <c r="B63" s="5">
        <v>45000</v>
      </c>
      <c r="C63" s="6"/>
      <c r="D63" s="7">
        <f>B63</f>
        <v>45000</v>
      </c>
      <c r="E63" s="2"/>
      <c r="F63" s="3"/>
      <c r="I63" s="4" t="s">
        <v>50</v>
      </c>
      <c r="J63" s="4">
        <v>75</v>
      </c>
    </row>
    <row r="64" spans="1:10" ht="21" x14ac:dyDescent="0.4">
      <c r="A64" s="4" t="s">
        <v>5</v>
      </c>
      <c r="B64" s="5">
        <v>30000</v>
      </c>
      <c r="C64" s="6"/>
      <c r="D64" s="7">
        <f>B64</f>
        <v>30000</v>
      </c>
      <c r="E64" s="3"/>
      <c r="F64" s="2"/>
    </row>
    <row r="65" spans="1:9" ht="21" x14ac:dyDescent="0.4">
      <c r="A65" s="3" t="s">
        <v>6</v>
      </c>
      <c r="B65" s="2"/>
      <c r="D65" s="11">
        <f>D66*5%</f>
        <v>10750</v>
      </c>
      <c r="E65" s="90"/>
      <c r="F65" s="90"/>
    </row>
    <row r="66" spans="1:9" ht="21.6" thickBot="1" x14ac:dyDescent="0.45">
      <c r="A66" s="3" t="s">
        <v>7</v>
      </c>
      <c r="B66" s="2"/>
      <c r="D66" s="12">
        <f>D60+D61+D62+D63+D64</f>
        <v>215000</v>
      </c>
      <c r="E66" s="2"/>
      <c r="F66" s="2"/>
    </row>
    <row r="67" spans="1:9" ht="21.6" thickTop="1" x14ac:dyDescent="0.4">
      <c r="A67" s="3" t="s">
        <v>8</v>
      </c>
      <c r="B67" s="2"/>
      <c r="D67" s="14">
        <f>D66+D65</f>
        <v>225750</v>
      </c>
      <c r="E67" s="3"/>
      <c r="F67" s="3"/>
    </row>
    <row r="68" spans="1:9" ht="21" x14ac:dyDescent="0.4">
      <c r="A68" s="3" t="s">
        <v>9</v>
      </c>
      <c r="B68" s="2"/>
      <c r="D68" s="14">
        <f>D67/3500</f>
        <v>64.5</v>
      </c>
      <c r="E68" s="2"/>
      <c r="F68" s="2"/>
    </row>
    <row r="69" spans="1:9" ht="21" x14ac:dyDescent="0.4">
      <c r="A69" s="3"/>
      <c r="B69" s="2"/>
      <c r="D69" s="3"/>
      <c r="E69" s="2"/>
      <c r="F69" s="2"/>
    </row>
    <row r="70" spans="1:9" ht="21" x14ac:dyDescent="0.4">
      <c r="E70" s="2"/>
      <c r="F70" s="2"/>
    </row>
    <row r="71" spans="1:9" ht="21" x14ac:dyDescent="0.4">
      <c r="A71" s="15" t="s">
        <v>10</v>
      </c>
      <c r="B71" s="16">
        <v>30</v>
      </c>
      <c r="D71" s="2"/>
      <c r="E71" s="2"/>
      <c r="F71" s="15" t="s">
        <v>10</v>
      </c>
      <c r="G71" s="16">
        <v>30</v>
      </c>
      <c r="I71" s="2"/>
    </row>
    <row r="72" spans="1:9" ht="21" x14ac:dyDescent="0.4">
      <c r="A72" s="3"/>
      <c r="B72" s="2"/>
      <c r="D72" s="3" t="s">
        <v>1</v>
      </c>
      <c r="E72" s="2"/>
      <c r="F72" s="3"/>
      <c r="G72" s="2"/>
      <c r="I72" s="3" t="s">
        <v>1</v>
      </c>
    </row>
    <row r="73" spans="1:9" ht="21" x14ac:dyDescent="0.4">
      <c r="A73" s="4" t="s">
        <v>1</v>
      </c>
      <c r="B73" s="5">
        <v>400000</v>
      </c>
      <c r="D73" s="5">
        <f>B73/8</f>
        <v>50000</v>
      </c>
      <c r="E73" s="13"/>
      <c r="F73" s="4" t="s">
        <v>1</v>
      </c>
      <c r="G73" s="5">
        <v>666667</v>
      </c>
      <c r="I73" s="5">
        <f>G73/8</f>
        <v>83333.375</v>
      </c>
    </row>
    <row r="74" spans="1:9" ht="21" x14ac:dyDescent="0.4">
      <c r="A74" s="4" t="s">
        <v>5</v>
      </c>
      <c r="B74" s="5">
        <v>10000</v>
      </c>
      <c r="D74" s="5">
        <f>B74</f>
        <v>10000</v>
      </c>
      <c r="E74" s="14"/>
      <c r="F74" s="4" t="s">
        <v>5</v>
      </c>
      <c r="G74" s="5">
        <v>10000</v>
      </c>
      <c r="I74" s="5">
        <f>G74</f>
        <v>10000</v>
      </c>
    </row>
    <row r="75" spans="1:9" ht="21" x14ac:dyDescent="0.4">
      <c r="A75" s="4" t="s">
        <v>2</v>
      </c>
      <c r="B75" s="5">
        <v>150000</v>
      </c>
      <c r="D75" s="5">
        <f>B75/8</f>
        <v>18750</v>
      </c>
      <c r="E75" s="14"/>
      <c r="F75" s="4" t="s">
        <v>2</v>
      </c>
      <c r="G75" s="5">
        <v>150000</v>
      </c>
      <c r="I75" s="5">
        <f>G75/8</f>
        <v>18750</v>
      </c>
    </row>
    <row r="76" spans="1:9" ht="21" x14ac:dyDescent="0.4">
      <c r="A76" s="3" t="s">
        <v>6</v>
      </c>
      <c r="B76" s="2"/>
      <c r="D76" s="11">
        <f>D77*10%</f>
        <v>7875</v>
      </c>
      <c r="F76" s="3" t="s">
        <v>6</v>
      </c>
      <c r="G76" s="2"/>
      <c r="I76" s="11">
        <f>I77*10%</f>
        <v>11208.337500000001</v>
      </c>
    </row>
    <row r="77" spans="1:9" ht="21.6" thickBot="1" x14ac:dyDescent="0.45">
      <c r="A77" s="3" t="s">
        <v>7</v>
      </c>
      <c r="B77" s="2"/>
      <c r="D77" s="12">
        <f>D73+D74+D75</f>
        <v>78750</v>
      </c>
      <c r="F77" s="3" t="s">
        <v>7</v>
      </c>
      <c r="G77" s="2"/>
      <c r="I77" s="12">
        <f>I73+I74+I75</f>
        <v>112083.375</v>
      </c>
    </row>
    <row r="78" spans="1:9" ht="21.6" thickTop="1" x14ac:dyDescent="0.4">
      <c r="A78" s="3" t="s">
        <v>8</v>
      </c>
      <c r="B78" s="2"/>
      <c r="D78" s="14">
        <f>D77+D76</f>
        <v>86625</v>
      </c>
      <c r="F78" s="3" t="s">
        <v>8</v>
      </c>
      <c r="G78" s="2"/>
      <c r="I78" s="14">
        <f>I77+I76</f>
        <v>123291.71249999999</v>
      </c>
    </row>
    <row r="79" spans="1:9" ht="21" x14ac:dyDescent="0.4">
      <c r="A79" s="3" t="s">
        <v>9</v>
      </c>
      <c r="B79" s="2"/>
      <c r="D79" s="17">
        <f>D78/3500</f>
        <v>24.75</v>
      </c>
      <c r="E79" s="3"/>
      <c r="F79" s="3" t="s">
        <v>9</v>
      </c>
      <c r="G79" s="2"/>
      <c r="I79" s="17">
        <f>I78/3500</f>
        <v>35.22620357142857</v>
      </c>
    </row>
    <row r="80" spans="1:9" ht="21" x14ac:dyDescent="0.4">
      <c r="E80" s="3"/>
      <c r="F80" s="3"/>
    </row>
    <row r="81" spans="1:6" ht="21" x14ac:dyDescent="0.4">
      <c r="E81" s="90"/>
      <c r="F81" s="90"/>
    </row>
    <row r="82" spans="1:6" ht="21" x14ac:dyDescent="0.4">
      <c r="A82" s="1" t="s">
        <v>11</v>
      </c>
      <c r="B82" s="2">
        <v>60</v>
      </c>
      <c r="D82" s="2"/>
      <c r="E82" s="2"/>
      <c r="F82" s="2"/>
    </row>
    <row r="83" spans="1:6" ht="21" x14ac:dyDescent="0.4">
      <c r="A83" s="3"/>
      <c r="B83" s="2"/>
      <c r="D83" s="3" t="s">
        <v>1</v>
      </c>
      <c r="E83" s="3"/>
      <c r="F83" s="3"/>
    </row>
    <row r="84" spans="1:6" ht="21" x14ac:dyDescent="0.4">
      <c r="A84" s="4" t="s">
        <v>1</v>
      </c>
      <c r="B84" s="5">
        <v>800000</v>
      </c>
      <c r="C84" s="6"/>
      <c r="D84" s="5">
        <f>B84/8</f>
        <v>100000</v>
      </c>
      <c r="E84" s="3"/>
      <c r="F84" s="3"/>
    </row>
    <row r="85" spans="1:6" ht="21" x14ac:dyDescent="0.4">
      <c r="A85" s="4" t="s">
        <v>2</v>
      </c>
      <c r="B85" s="5">
        <v>300000</v>
      </c>
      <c r="C85" s="6"/>
      <c r="D85" s="5">
        <f>B85/8</f>
        <v>37500</v>
      </c>
      <c r="E85" s="2"/>
      <c r="F85" s="2"/>
    </row>
    <row r="86" spans="1:6" ht="21" x14ac:dyDescent="0.4">
      <c r="A86" s="18" t="s">
        <v>12</v>
      </c>
      <c r="B86" s="5">
        <v>10000</v>
      </c>
      <c r="C86" s="6"/>
      <c r="D86" s="5">
        <f>B86</f>
        <v>10000</v>
      </c>
      <c r="E86" s="2"/>
      <c r="F86" s="2"/>
    </row>
    <row r="87" spans="1:6" ht="21" x14ac:dyDescent="0.4">
      <c r="A87" s="4" t="s">
        <v>22</v>
      </c>
      <c r="B87" s="5">
        <v>5000</v>
      </c>
      <c r="C87" s="6"/>
      <c r="D87" s="5">
        <f>B87</f>
        <v>5000</v>
      </c>
      <c r="E87" s="2"/>
      <c r="F87" s="2"/>
    </row>
    <row r="88" spans="1:6" ht="21" x14ac:dyDescent="0.4">
      <c r="A88" s="4" t="s">
        <v>5</v>
      </c>
      <c r="B88" s="5">
        <v>25000</v>
      </c>
      <c r="C88" s="6"/>
      <c r="D88" s="5">
        <f>B88</f>
        <v>25000</v>
      </c>
      <c r="E88" s="2"/>
      <c r="F88" s="2"/>
    </row>
    <row r="89" spans="1:6" ht="21" x14ac:dyDescent="0.4">
      <c r="A89" s="3" t="s">
        <v>6</v>
      </c>
      <c r="B89" s="2"/>
      <c r="D89" s="11">
        <f>D90*15%</f>
        <v>25875</v>
      </c>
      <c r="E89" s="2"/>
      <c r="F89" s="2"/>
    </row>
    <row r="90" spans="1:6" ht="21.6" thickBot="1" x14ac:dyDescent="0.45">
      <c r="A90" s="3" t="s">
        <v>7</v>
      </c>
      <c r="B90" s="2"/>
      <c r="D90" s="12">
        <f>D84+D85+D88+D86</f>
        <v>172500</v>
      </c>
      <c r="E90" s="13"/>
      <c r="F90" s="13"/>
    </row>
    <row r="91" spans="1:6" ht="21.6" thickTop="1" x14ac:dyDescent="0.4">
      <c r="A91" s="3" t="s">
        <v>8</v>
      </c>
      <c r="B91" s="2"/>
      <c r="D91" s="14">
        <f>D90+D89</f>
        <v>198375</v>
      </c>
      <c r="E91" s="14"/>
      <c r="F91" s="14"/>
    </row>
    <row r="92" spans="1:6" ht="21" x14ac:dyDescent="0.4">
      <c r="A92" s="3" t="s">
        <v>9</v>
      </c>
      <c r="B92" s="2"/>
      <c r="D92" s="14">
        <f>D91/3500</f>
        <v>56.678571428571431</v>
      </c>
      <c r="E92" s="14"/>
      <c r="F92" s="14"/>
    </row>
    <row r="96" spans="1:6" ht="21" x14ac:dyDescent="0.4">
      <c r="A96" s="1" t="s">
        <v>87</v>
      </c>
      <c r="B96" s="2">
        <v>70</v>
      </c>
      <c r="D96" s="2"/>
    </row>
    <row r="97" spans="1:6" ht="21" x14ac:dyDescent="0.4">
      <c r="A97" s="3"/>
      <c r="B97" s="2"/>
      <c r="D97" s="3" t="s">
        <v>1</v>
      </c>
    </row>
    <row r="98" spans="1:6" ht="21" x14ac:dyDescent="0.4">
      <c r="A98" s="4" t="s">
        <v>1</v>
      </c>
      <c r="B98" s="5">
        <v>400000</v>
      </c>
      <c r="C98" s="6"/>
      <c r="D98" s="5">
        <f>B98/8</f>
        <v>50000</v>
      </c>
    </row>
    <row r="99" spans="1:6" ht="21" x14ac:dyDescent="0.4">
      <c r="A99" s="4" t="s">
        <v>2</v>
      </c>
      <c r="B99" s="5">
        <v>200000</v>
      </c>
      <c r="C99" s="6"/>
      <c r="D99" s="5">
        <f>B99/8</f>
        <v>25000</v>
      </c>
    </row>
    <row r="100" spans="1:6" ht="21" x14ac:dyDescent="0.4">
      <c r="A100" s="18" t="s">
        <v>88</v>
      </c>
      <c r="B100" s="5">
        <v>100000</v>
      </c>
      <c r="C100" s="6"/>
      <c r="D100" s="5">
        <f>B100</f>
        <v>100000</v>
      </c>
    </row>
    <row r="101" spans="1:6" ht="21" x14ac:dyDescent="0.4">
      <c r="A101" s="4" t="s">
        <v>22</v>
      </c>
      <c r="B101" s="5"/>
      <c r="C101" s="6"/>
      <c r="D101" s="5">
        <f>B101</f>
        <v>0</v>
      </c>
    </row>
    <row r="102" spans="1:6" ht="21" x14ac:dyDescent="0.4">
      <c r="A102" s="4" t="s">
        <v>5</v>
      </c>
      <c r="B102" s="5">
        <v>25000</v>
      </c>
      <c r="C102" s="6"/>
      <c r="D102" s="5">
        <f>B102</f>
        <v>25000</v>
      </c>
    </row>
    <row r="103" spans="1:6" ht="21" x14ac:dyDescent="0.4">
      <c r="A103" s="3" t="s">
        <v>6</v>
      </c>
      <c r="B103" s="2"/>
      <c r="D103" s="11">
        <f>D104*15%</f>
        <v>30000</v>
      </c>
    </row>
    <row r="104" spans="1:6" ht="21.6" thickBot="1" x14ac:dyDescent="0.45">
      <c r="A104" s="3" t="s">
        <v>7</v>
      </c>
      <c r="B104" s="2"/>
      <c r="D104" s="12">
        <f>D98+D99+D102+D100</f>
        <v>200000</v>
      </c>
    </row>
    <row r="105" spans="1:6" ht="21.6" thickTop="1" x14ac:dyDescent="0.4">
      <c r="A105" s="3" t="s">
        <v>8</v>
      </c>
      <c r="B105" s="2"/>
      <c r="D105" s="14">
        <f>D104+D103</f>
        <v>230000</v>
      </c>
    </row>
    <row r="106" spans="1:6" ht="21" x14ac:dyDescent="0.4">
      <c r="A106" s="3" t="s">
        <v>9</v>
      </c>
      <c r="B106" s="2"/>
      <c r="D106" s="14">
        <f>D105/3500</f>
        <v>65.714285714285708</v>
      </c>
    </row>
    <row r="110" spans="1:6" ht="21" x14ac:dyDescent="0.4">
      <c r="A110" s="1" t="s">
        <v>217</v>
      </c>
      <c r="B110" s="2"/>
      <c r="D110" s="3"/>
      <c r="E110" s="3"/>
      <c r="F110" s="3"/>
    </row>
    <row r="111" spans="1:6" ht="21" x14ac:dyDescent="0.4">
      <c r="A111" s="3"/>
      <c r="B111" s="19"/>
      <c r="D111" s="3" t="s">
        <v>1</v>
      </c>
      <c r="E111" s="3"/>
      <c r="F111" s="3"/>
    </row>
    <row r="112" spans="1:6" ht="21" x14ac:dyDescent="0.4">
      <c r="A112" s="4" t="s">
        <v>1</v>
      </c>
      <c r="B112" s="5">
        <v>1200000</v>
      </c>
      <c r="C112" s="6"/>
      <c r="D112" s="5">
        <f>B112/20</f>
        <v>60000</v>
      </c>
      <c r="E112" s="3"/>
      <c r="F112" s="3"/>
    </row>
    <row r="113" spans="1:6" ht="21" x14ac:dyDescent="0.4">
      <c r="A113" s="64" t="s">
        <v>73</v>
      </c>
      <c r="B113" s="65">
        <v>0</v>
      </c>
      <c r="C113" s="66"/>
      <c r="D113" s="64"/>
      <c r="E113" s="90"/>
      <c r="F113" s="90"/>
    </row>
    <row r="114" spans="1:6" ht="21" x14ac:dyDescent="0.4">
      <c r="A114" s="4" t="s">
        <v>2</v>
      </c>
      <c r="B114" s="5">
        <v>600000</v>
      </c>
      <c r="C114" s="6"/>
      <c r="D114" s="5">
        <f>B114/20</f>
        <v>30000</v>
      </c>
      <c r="E114" s="2"/>
      <c r="F114" s="2"/>
    </row>
    <row r="115" spans="1:6" ht="21" x14ac:dyDescent="0.4">
      <c r="A115" s="8" t="s">
        <v>12</v>
      </c>
      <c r="B115" s="5"/>
      <c r="C115" s="6"/>
      <c r="D115" s="4"/>
      <c r="E115" s="3"/>
      <c r="F115" s="3"/>
    </row>
    <row r="116" spans="1:6" ht="21" x14ac:dyDescent="0.4">
      <c r="A116" s="4" t="s">
        <v>76</v>
      </c>
      <c r="B116" s="5">
        <v>10000</v>
      </c>
      <c r="C116" s="6"/>
      <c r="D116" s="5">
        <f>B116</f>
        <v>10000</v>
      </c>
      <c r="E116" s="2"/>
      <c r="F116" s="2"/>
    </row>
    <row r="117" spans="1:6" ht="21" x14ac:dyDescent="0.4">
      <c r="A117" s="18" t="s">
        <v>77</v>
      </c>
      <c r="B117" s="5">
        <v>0</v>
      </c>
      <c r="C117" s="6"/>
      <c r="D117" s="5">
        <f>B117</f>
        <v>0</v>
      </c>
      <c r="E117" s="2"/>
      <c r="F117" s="2"/>
    </row>
    <row r="118" spans="1:6" ht="21" x14ac:dyDescent="0.4">
      <c r="A118" s="18" t="s">
        <v>4</v>
      </c>
      <c r="B118" s="5">
        <v>0</v>
      </c>
      <c r="C118" s="6"/>
      <c r="D118" s="5">
        <f>B118</f>
        <v>0</v>
      </c>
      <c r="E118" s="2"/>
      <c r="F118" s="2"/>
    </row>
    <row r="119" spans="1:6" ht="21" x14ac:dyDescent="0.4">
      <c r="A119" s="4" t="s">
        <v>5</v>
      </c>
      <c r="B119" s="5">
        <v>15000</v>
      </c>
      <c r="C119" s="6"/>
      <c r="D119" s="5">
        <f>B119</f>
        <v>15000</v>
      </c>
      <c r="E119" s="2"/>
      <c r="F119" s="2"/>
    </row>
    <row r="120" spans="1:6" ht="21" x14ac:dyDescent="0.4">
      <c r="A120" s="3" t="s">
        <v>6</v>
      </c>
      <c r="B120" s="2"/>
      <c r="D120" s="11">
        <f>D121*25%</f>
        <v>28750</v>
      </c>
      <c r="E120" s="2"/>
      <c r="F120" s="2"/>
    </row>
    <row r="121" spans="1:6" ht="21.6" thickBot="1" x14ac:dyDescent="0.45">
      <c r="A121" s="3" t="s">
        <v>7</v>
      </c>
      <c r="B121" s="2"/>
      <c r="D121" s="12">
        <f>D112+D114+D116+D118+D119+D117</f>
        <v>115000</v>
      </c>
      <c r="E121" s="13"/>
      <c r="F121" s="13"/>
    </row>
    <row r="122" spans="1:6" ht="21.6" thickTop="1" x14ac:dyDescent="0.4">
      <c r="A122" s="3" t="s">
        <v>8</v>
      </c>
      <c r="B122" s="2"/>
      <c r="D122" s="14">
        <f>D121+D120</f>
        <v>143750</v>
      </c>
      <c r="E122" s="14"/>
      <c r="F122" s="14"/>
    </row>
    <row r="123" spans="1:6" ht="21" x14ac:dyDescent="0.4">
      <c r="A123" s="3" t="s">
        <v>9</v>
      </c>
      <c r="B123" s="2"/>
      <c r="D123" s="14">
        <f>D122/3200</f>
        <v>44.921875</v>
      </c>
      <c r="E123" s="14"/>
      <c r="F123" s="14"/>
    </row>
  </sheetData>
  <mergeCells count="7">
    <mergeCell ref="A56:F56"/>
    <mergeCell ref="I58:J58"/>
    <mergeCell ref="I12:J12"/>
    <mergeCell ref="I4:K4"/>
    <mergeCell ref="I26:L26"/>
    <mergeCell ref="I39:K39"/>
    <mergeCell ref="I24:L2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8B99C-8FC3-4E99-988C-617A487A246D}">
  <dimension ref="A2:J132"/>
  <sheetViews>
    <sheetView topLeftCell="A3" workbookViewId="0">
      <selection activeCell="H11" sqref="H11"/>
    </sheetView>
  </sheetViews>
  <sheetFormatPr baseColWidth="10" defaultRowHeight="14.4" x14ac:dyDescent="0.3"/>
  <cols>
    <col min="1" max="1" width="36.21875" bestFit="1" customWidth="1"/>
    <col min="2" max="2" width="15.88671875" bestFit="1" customWidth="1"/>
    <col min="4" max="5" width="13.5546875" bestFit="1" customWidth="1"/>
    <col min="9" max="9" width="35.109375" bestFit="1" customWidth="1"/>
  </cols>
  <sheetData>
    <row r="2" spans="1:10" ht="15" thickBot="1" x14ac:dyDescent="0.35"/>
    <row r="3" spans="1:10" ht="24" thickBot="1" x14ac:dyDescent="0.5">
      <c r="A3" s="1" t="s">
        <v>84</v>
      </c>
      <c r="B3" s="2"/>
      <c r="D3" s="3"/>
      <c r="I3" s="200" t="s">
        <v>214</v>
      </c>
      <c r="J3" s="201"/>
    </row>
    <row r="4" spans="1:10" ht="28.8" x14ac:dyDescent="0.4">
      <c r="A4" s="3"/>
      <c r="B4" s="19"/>
      <c r="D4" s="3" t="s">
        <v>1</v>
      </c>
      <c r="I4" s="186" t="s">
        <v>43</v>
      </c>
      <c r="J4" s="87" t="s">
        <v>62</v>
      </c>
    </row>
    <row r="5" spans="1:10" ht="21" x14ac:dyDescent="0.4">
      <c r="A5" s="4" t="s">
        <v>100</v>
      </c>
      <c r="B5" s="5">
        <v>500000</v>
      </c>
      <c r="C5" s="6"/>
      <c r="D5" s="5">
        <f>B5/3</f>
        <v>166666.66666666666</v>
      </c>
      <c r="I5" s="4" t="s">
        <v>80</v>
      </c>
      <c r="J5" s="4">
        <v>80</v>
      </c>
    </row>
    <row r="6" spans="1:10" ht="21" x14ac:dyDescent="0.4">
      <c r="A6" s="4" t="s">
        <v>2</v>
      </c>
      <c r="B6" s="5">
        <v>0</v>
      </c>
      <c r="C6" s="6"/>
      <c r="D6" s="5">
        <f>B6/15</f>
        <v>0</v>
      </c>
      <c r="I6" s="4" t="s">
        <v>81</v>
      </c>
      <c r="J6" s="4">
        <v>130</v>
      </c>
    </row>
    <row r="7" spans="1:10" ht="21.6" thickBot="1" x14ac:dyDescent="0.45">
      <c r="A7" s="8" t="s">
        <v>12</v>
      </c>
      <c r="B7" s="5"/>
      <c r="C7" s="6"/>
      <c r="D7" s="4"/>
      <c r="I7" s="4" t="s">
        <v>28</v>
      </c>
      <c r="J7" s="89">
        <v>40</v>
      </c>
    </row>
    <row r="8" spans="1:10" ht="21.6" thickBot="1" x14ac:dyDescent="0.45">
      <c r="A8" s="4" t="s">
        <v>213</v>
      </c>
      <c r="B8" s="5">
        <v>110000</v>
      </c>
      <c r="C8" s="6"/>
      <c r="D8" s="5">
        <f>B8</f>
        <v>110000</v>
      </c>
      <c r="I8" s="9" t="s">
        <v>83</v>
      </c>
      <c r="J8" s="91">
        <f>SUM(J5:J7)</f>
        <v>250</v>
      </c>
    </row>
    <row r="9" spans="1:10" ht="21" x14ac:dyDescent="0.4">
      <c r="A9" s="4" t="s">
        <v>4</v>
      </c>
      <c r="B9" s="5">
        <v>60000</v>
      </c>
      <c r="C9" s="6"/>
      <c r="D9" s="5">
        <f>B9</f>
        <v>60000</v>
      </c>
    </row>
    <row r="10" spans="1:10" ht="21.6" thickBot="1" x14ac:dyDescent="0.45">
      <c r="A10" s="4" t="s">
        <v>5</v>
      </c>
      <c r="B10" s="5">
        <v>10000</v>
      </c>
      <c r="C10" s="6"/>
      <c r="D10" s="5">
        <f>B10</f>
        <v>10000</v>
      </c>
    </row>
    <row r="11" spans="1:10" ht="21.6" thickBot="1" x14ac:dyDescent="0.45">
      <c r="A11" s="3" t="s">
        <v>6</v>
      </c>
      <c r="B11" s="2"/>
      <c r="D11" s="11">
        <f>D12*15%</f>
        <v>51999.999999999993</v>
      </c>
      <c r="I11" s="190" t="s">
        <v>24</v>
      </c>
      <c r="J11" s="191"/>
    </row>
    <row r="12" spans="1:10" ht="21.6" thickBot="1" x14ac:dyDescent="0.45">
      <c r="A12" s="3" t="s">
        <v>7</v>
      </c>
      <c r="B12" s="2"/>
      <c r="D12" s="12">
        <f>D5+D6+D8+D9+D10</f>
        <v>346666.66666666663</v>
      </c>
      <c r="I12" s="34" t="s">
        <v>10</v>
      </c>
      <c r="J12" s="31">
        <v>35</v>
      </c>
    </row>
    <row r="13" spans="1:10" ht="21.6" thickTop="1" x14ac:dyDescent="0.4">
      <c r="A13" s="3" t="s">
        <v>8</v>
      </c>
      <c r="B13" s="2"/>
      <c r="D13" s="14">
        <f>D12+D11</f>
        <v>398666.66666666663</v>
      </c>
      <c r="I13" s="35" t="s">
        <v>16</v>
      </c>
      <c r="J13" s="10">
        <v>95</v>
      </c>
    </row>
    <row r="14" spans="1:10" ht="21" x14ac:dyDescent="0.4">
      <c r="A14" s="3" t="s">
        <v>9</v>
      </c>
      <c r="B14" s="2"/>
      <c r="D14" s="14">
        <f>D13/3200</f>
        <v>124.58333333333331</v>
      </c>
      <c r="I14" s="35" t="s">
        <v>112</v>
      </c>
      <c r="J14" s="10">
        <v>75</v>
      </c>
    </row>
    <row r="15" spans="1:10" ht="21" x14ac:dyDescent="0.4">
      <c r="I15" s="36" t="s">
        <v>216</v>
      </c>
      <c r="J15" s="10">
        <v>140</v>
      </c>
    </row>
    <row r="16" spans="1:10" ht="21" x14ac:dyDescent="0.4">
      <c r="I16" s="36" t="s">
        <v>35</v>
      </c>
      <c r="J16" s="10">
        <v>90</v>
      </c>
    </row>
    <row r="17" spans="1:10" ht="21" x14ac:dyDescent="0.4">
      <c r="A17" s="15" t="s">
        <v>10</v>
      </c>
      <c r="B17" s="16">
        <v>30</v>
      </c>
      <c r="D17" s="2"/>
      <c r="I17" s="36" t="s">
        <v>36</v>
      </c>
      <c r="J17" s="10">
        <v>120</v>
      </c>
    </row>
    <row r="18" spans="1:10" ht="21" x14ac:dyDescent="0.4">
      <c r="A18" s="3"/>
      <c r="B18" s="2"/>
      <c r="D18" s="3" t="s">
        <v>1</v>
      </c>
      <c r="I18" s="18" t="s">
        <v>30</v>
      </c>
      <c r="J18" s="10">
        <v>65</v>
      </c>
    </row>
    <row r="19" spans="1:10" ht="21" x14ac:dyDescent="0.4">
      <c r="A19" s="4" t="s">
        <v>1</v>
      </c>
      <c r="B19" s="5">
        <v>250000</v>
      </c>
      <c r="D19" s="5">
        <f>B19/3</f>
        <v>83333.333333333328</v>
      </c>
    </row>
    <row r="20" spans="1:10" ht="21" x14ac:dyDescent="0.4">
      <c r="A20" s="4" t="s">
        <v>5</v>
      </c>
      <c r="B20" s="5">
        <v>10000</v>
      </c>
      <c r="D20" s="5">
        <f>B20</f>
        <v>10000</v>
      </c>
    </row>
    <row r="21" spans="1:10" ht="21" x14ac:dyDescent="0.4">
      <c r="A21" s="4" t="s">
        <v>2</v>
      </c>
      <c r="B21" s="5">
        <v>50000</v>
      </c>
      <c r="D21" s="5">
        <f>B21/3</f>
        <v>16666.666666666668</v>
      </c>
    </row>
    <row r="22" spans="1:10" ht="21" x14ac:dyDescent="0.4">
      <c r="A22" s="3" t="s">
        <v>6</v>
      </c>
      <c r="B22" s="2"/>
      <c r="D22" s="11">
        <f>D23*10%</f>
        <v>11000</v>
      </c>
    </row>
    <row r="23" spans="1:10" ht="21.6" thickBot="1" x14ac:dyDescent="0.45">
      <c r="A23" s="3" t="s">
        <v>7</v>
      </c>
      <c r="B23" s="2"/>
      <c r="D23" s="12">
        <f>D19+D20+D21</f>
        <v>110000</v>
      </c>
    </row>
    <row r="24" spans="1:10" ht="21.6" thickTop="1" x14ac:dyDescent="0.4">
      <c r="A24" s="3" t="s">
        <v>8</v>
      </c>
      <c r="B24" s="2"/>
      <c r="D24" s="14">
        <f>D23+D22</f>
        <v>121000</v>
      </c>
    </row>
    <row r="25" spans="1:10" ht="21" x14ac:dyDescent="0.4">
      <c r="A25" s="3" t="s">
        <v>9</v>
      </c>
      <c r="B25" s="2"/>
      <c r="D25" s="17">
        <f>D24/3500</f>
        <v>34.571428571428569</v>
      </c>
    </row>
    <row r="29" spans="1:10" ht="21" x14ac:dyDescent="0.4">
      <c r="A29" s="1" t="s">
        <v>75</v>
      </c>
      <c r="B29" s="2"/>
      <c r="D29" s="3"/>
    </row>
    <row r="30" spans="1:10" ht="21" x14ac:dyDescent="0.4">
      <c r="A30" s="3"/>
      <c r="B30" s="19"/>
      <c r="D30" s="3" t="s">
        <v>1</v>
      </c>
    </row>
    <row r="31" spans="1:10" ht="21" x14ac:dyDescent="0.4">
      <c r="A31" s="4" t="s">
        <v>1</v>
      </c>
      <c r="B31" s="5">
        <v>500000</v>
      </c>
      <c r="C31" s="6"/>
      <c r="D31" s="5">
        <f>B31/3</f>
        <v>166666.66666666666</v>
      </c>
    </row>
    <row r="32" spans="1:10" ht="21" x14ac:dyDescent="0.4">
      <c r="A32" s="4" t="s">
        <v>2</v>
      </c>
      <c r="B32" s="5"/>
      <c r="C32" s="6"/>
      <c r="D32" s="5">
        <f>B32/15</f>
        <v>0</v>
      </c>
    </row>
    <row r="33" spans="1:5" ht="21" x14ac:dyDescent="0.4">
      <c r="A33" s="8" t="s">
        <v>12</v>
      </c>
      <c r="B33" s="5"/>
      <c r="C33" s="6"/>
      <c r="D33" s="4"/>
    </row>
    <row r="34" spans="1:5" ht="21" x14ac:dyDescent="0.4">
      <c r="A34" s="4" t="s">
        <v>76</v>
      </c>
      <c r="B34" s="5">
        <v>10000</v>
      </c>
      <c r="C34" s="6"/>
      <c r="D34" s="5">
        <f>B34</f>
        <v>10000</v>
      </c>
    </row>
    <row r="35" spans="1:5" ht="21" x14ac:dyDescent="0.4">
      <c r="A35" s="18" t="s">
        <v>77</v>
      </c>
      <c r="B35" s="5">
        <v>30000</v>
      </c>
      <c r="C35" s="6"/>
      <c r="D35" s="5">
        <f>B35</f>
        <v>30000</v>
      </c>
    </row>
    <row r="36" spans="1:5" ht="21" x14ac:dyDescent="0.4">
      <c r="A36" s="18" t="s">
        <v>4</v>
      </c>
      <c r="B36" s="5"/>
      <c r="C36" s="6"/>
      <c r="D36" s="5">
        <f>B36</f>
        <v>0</v>
      </c>
    </row>
    <row r="37" spans="1:5" ht="21" x14ac:dyDescent="0.4">
      <c r="A37" s="4" t="s">
        <v>5</v>
      </c>
      <c r="B37" s="5">
        <v>5000</v>
      </c>
      <c r="C37" s="6"/>
      <c r="D37" s="5">
        <f>B37</f>
        <v>5000</v>
      </c>
    </row>
    <row r="38" spans="1:5" ht="21" x14ac:dyDescent="0.4">
      <c r="A38" s="3" t="s">
        <v>6</v>
      </c>
      <c r="B38" s="2"/>
      <c r="D38" s="11">
        <f>D39*15%</f>
        <v>31749.999999999996</v>
      </c>
    </row>
    <row r="39" spans="1:5" ht="21.6" thickBot="1" x14ac:dyDescent="0.45">
      <c r="A39" s="3" t="s">
        <v>7</v>
      </c>
      <c r="B39" s="2"/>
      <c r="D39" s="12">
        <f>D31+D32+D34+D36+D37+D35</f>
        <v>211666.66666666666</v>
      </c>
    </row>
    <row r="40" spans="1:5" ht="21.6" thickTop="1" x14ac:dyDescent="0.4">
      <c r="A40" s="3" t="s">
        <v>8</v>
      </c>
      <c r="B40" s="2"/>
      <c r="D40" s="14">
        <f>D39+D38</f>
        <v>243416.66666666666</v>
      </c>
    </row>
    <row r="41" spans="1:5" ht="21" x14ac:dyDescent="0.4">
      <c r="A41" s="3" t="s">
        <v>9</v>
      </c>
      <c r="B41" s="2"/>
      <c r="D41" s="14">
        <f>D40/3200</f>
        <v>76.067708333333329</v>
      </c>
    </row>
    <row r="45" spans="1:5" ht="21" x14ac:dyDescent="0.4">
      <c r="A45" s="1" t="s">
        <v>16</v>
      </c>
      <c r="B45" s="2">
        <v>94</v>
      </c>
      <c r="D45" s="2"/>
    </row>
    <row r="46" spans="1:5" ht="21" x14ac:dyDescent="0.4">
      <c r="A46" s="3"/>
      <c r="B46" s="2"/>
      <c r="D46" s="3" t="s">
        <v>215</v>
      </c>
    </row>
    <row r="47" spans="1:5" ht="21" x14ac:dyDescent="0.4">
      <c r="A47" s="4" t="s">
        <v>1</v>
      </c>
      <c r="B47" s="5">
        <v>250000</v>
      </c>
      <c r="C47" s="6"/>
      <c r="D47" s="5">
        <f>B47/3</f>
        <v>83333.333333333328</v>
      </c>
      <c r="E47" s="5">
        <f>B47/3</f>
        <v>83333.333333333328</v>
      </c>
    </row>
    <row r="48" spans="1:5" ht="21" x14ac:dyDescent="0.4">
      <c r="A48" s="4" t="s">
        <v>2</v>
      </c>
      <c r="B48" s="5">
        <v>200000</v>
      </c>
      <c r="C48" s="6"/>
      <c r="D48" s="5">
        <f>B48/3</f>
        <v>66666.666666666672</v>
      </c>
      <c r="E48" s="5">
        <f>B48/3</f>
        <v>66666.666666666672</v>
      </c>
    </row>
    <row r="49" spans="1:5" ht="21" x14ac:dyDescent="0.4">
      <c r="A49" s="18" t="s">
        <v>94</v>
      </c>
      <c r="B49" s="5">
        <v>0</v>
      </c>
      <c r="C49" s="6"/>
      <c r="D49" s="5">
        <f>B49/5</f>
        <v>0</v>
      </c>
      <c r="E49" s="5">
        <f>B49/5</f>
        <v>0</v>
      </c>
    </row>
    <row r="50" spans="1:5" ht="21" x14ac:dyDescent="0.4">
      <c r="A50" s="4" t="s">
        <v>13</v>
      </c>
      <c r="B50" s="5">
        <v>36000</v>
      </c>
      <c r="C50" s="6"/>
      <c r="D50" s="5">
        <f>B50</f>
        <v>36000</v>
      </c>
      <c r="E50" s="5">
        <f>B50</f>
        <v>36000</v>
      </c>
    </row>
    <row r="51" spans="1:5" ht="21" x14ac:dyDescent="0.4">
      <c r="A51" s="4" t="s">
        <v>14</v>
      </c>
      <c r="B51" s="5">
        <v>80000</v>
      </c>
      <c r="C51" s="6">
        <v>0</v>
      </c>
      <c r="D51" s="5">
        <f>B51</f>
        <v>80000</v>
      </c>
      <c r="E51" s="5">
        <f>C51</f>
        <v>0</v>
      </c>
    </row>
    <row r="52" spans="1:5" ht="21" x14ac:dyDescent="0.4">
      <c r="A52" s="4" t="s">
        <v>15</v>
      </c>
      <c r="B52" s="5">
        <v>18000</v>
      </c>
      <c r="C52" s="6"/>
      <c r="D52" s="5">
        <f>B52</f>
        <v>18000</v>
      </c>
      <c r="E52" s="5">
        <f>B52</f>
        <v>18000</v>
      </c>
    </row>
    <row r="53" spans="1:5" ht="21" x14ac:dyDescent="0.4">
      <c r="A53" s="4" t="s">
        <v>122</v>
      </c>
      <c r="B53" s="5">
        <v>30000</v>
      </c>
      <c r="C53" s="6"/>
      <c r="D53" s="5">
        <f>B53</f>
        <v>30000</v>
      </c>
      <c r="E53" s="5">
        <f>B53</f>
        <v>30000</v>
      </c>
    </row>
    <row r="54" spans="1:5" ht="21" x14ac:dyDescent="0.4">
      <c r="A54" s="3" t="s">
        <v>6</v>
      </c>
      <c r="B54" s="2"/>
      <c r="D54" s="11">
        <f>D55*5%</f>
        <v>15700</v>
      </c>
      <c r="E54" s="11">
        <f>E55*5%</f>
        <v>11700</v>
      </c>
    </row>
    <row r="55" spans="1:5" ht="21.6" thickBot="1" x14ac:dyDescent="0.45">
      <c r="A55" s="3" t="s">
        <v>7</v>
      </c>
      <c r="B55" s="2"/>
      <c r="D55" s="12">
        <f>D47+D48+D51+D50+D52+D53+D49</f>
        <v>314000</v>
      </c>
      <c r="E55" s="12">
        <f>E47+E48+E51+E50+E52+E53+E49</f>
        <v>234000</v>
      </c>
    </row>
    <row r="56" spans="1:5" ht="21.6" thickTop="1" x14ac:dyDescent="0.4">
      <c r="A56" s="3" t="s">
        <v>8</v>
      </c>
      <c r="B56" s="2"/>
      <c r="D56" s="14">
        <f>D55+D54</f>
        <v>329700</v>
      </c>
      <c r="E56" s="14">
        <f>E55+E54</f>
        <v>245700</v>
      </c>
    </row>
    <row r="57" spans="1:5" ht="21" x14ac:dyDescent="0.4">
      <c r="A57" s="3" t="s">
        <v>9</v>
      </c>
      <c r="B57" s="2"/>
      <c r="D57" s="14">
        <f>D56/3500</f>
        <v>94.2</v>
      </c>
      <c r="E57" s="14">
        <f>E56/3500</f>
        <v>70.2</v>
      </c>
    </row>
    <row r="59" spans="1:5" ht="21" x14ac:dyDescent="0.4">
      <c r="A59" s="1" t="s">
        <v>113</v>
      </c>
      <c r="B59" s="2">
        <v>72</v>
      </c>
      <c r="D59" s="2"/>
    </row>
    <row r="60" spans="1:5" ht="21" x14ac:dyDescent="0.4">
      <c r="A60" s="3"/>
      <c r="B60" s="2"/>
      <c r="D60" s="3" t="s">
        <v>1</v>
      </c>
    </row>
    <row r="61" spans="1:5" ht="21" x14ac:dyDescent="0.4">
      <c r="A61" s="4" t="s">
        <v>53</v>
      </c>
      <c r="B61" s="5">
        <v>600000</v>
      </c>
      <c r="C61" s="6"/>
      <c r="D61" s="5">
        <f>B61/18</f>
        <v>33333.333333333336</v>
      </c>
    </row>
    <row r="62" spans="1:5" ht="21" x14ac:dyDescent="0.4">
      <c r="A62" s="4" t="s">
        <v>2</v>
      </c>
      <c r="B62" s="5">
        <v>300000</v>
      </c>
      <c r="C62" s="6"/>
      <c r="D62" s="5">
        <f>B62/18</f>
        <v>16666.666666666668</v>
      </c>
    </row>
    <row r="63" spans="1:5" ht="21" x14ac:dyDescent="0.4">
      <c r="A63" s="18" t="s">
        <v>121</v>
      </c>
      <c r="B63" s="5">
        <v>30000</v>
      </c>
      <c r="C63" s="6"/>
      <c r="D63" s="5">
        <f>B63</f>
        <v>30000</v>
      </c>
    </row>
    <row r="64" spans="1:5" ht="21" x14ac:dyDescent="0.4">
      <c r="A64" s="4" t="s">
        <v>4</v>
      </c>
      <c r="B64" s="5">
        <v>70000</v>
      </c>
      <c r="C64" s="6"/>
      <c r="D64" s="5">
        <f>B64</f>
        <v>70000</v>
      </c>
    </row>
    <row r="65" spans="1:4" ht="21" x14ac:dyDescent="0.4">
      <c r="A65" s="4" t="s">
        <v>5</v>
      </c>
      <c r="B65" s="5">
        <v>30000</v>
      </c>
      <c r="C65" s="6"/>
      <c r="D65" s="5">
        <f>B65</f>
        <v>30000</v>
      </c>
    </row>
    <row r="66" spans="1:4" ht="21" x14ac:dyDescent="0.4">
      <c r="A66" s="3" t="s">
        <v>6</v>
      </c>
      <c r="B66" s="2"/>
      <c r="D66" s="11">
        <f>D67*10%</f>
        <v>18000</v>
      </c>
    </row>
    <row r="67" spans="1:4" ht="21.6" thickBot="1" x14ac:dyDescent="0.45">
      <c r="A67" s="3" t="s">
        <v>7</v>
      </c>
      <c r="B67" s="2"/>
      <c r="D67" s="12">
        <f>D61+D62+D64+D65+D63</f>
        <v>180000</v>
      </c>
    </row>
    <row r="68" spans="1:4" ht="21.6" thickTop="1" x14ac:dyDescent="0.4">
      <c r="A68" s="3" t="s">
        <v>8</v>
      </c>
      <c r="B68" s="2"/>
      <c r="D68" s="14">
        <f>D67+D66</f>
        <v>198000</v>
      </c>
    </row>
    <row r="69" spans="1:4" ht="21" x14ac:dyDescent="0.4">
      <c r="A69" s="3" t="s">
        <v>9</v>
      </c>
      <c r="B69" s="2"/>
      <c r="D69" s="14">
        <f>D68/3500</f>
        <v>56.571428571428569</v>
      </c>
    </row>
    <row r="72" spans="1:4" ht="21" x14ac:dyDescent="0.4">
      <c r="A72" s="1" t="s">
        <v>30</v>
      </c>
      <c r="B72" s="2">
        <v>60</v>
      </c>
      <c r="D72" s="2"/>
    </row>
    <row r="73" spans="1:4" ht="21" x14ac:dyDescent="0.4">
      <c r="A73" s="3"/>
      <c r="B73" s="2"/>
      <c r="D73" s="3" t="s">
        <v>1</v>
      </c>
    </row>
    <row r="74" spans="1:4" ht="21" x14ac:dyDescent="0.4">
      <c r="A74" s="4" t="s">
        <v>28</v>
      </c>
      <c r="B74" s="5">
        <v>60000</v>
      </c>
      <c r="C74" s="6"/>
      <c r="D74" s="5">
        <f>B74/3</f>
        <v>20000</v>
      </c>
    </row>
    <row r="75" spans="1:4" ht="21" x14ac:dyDescent="0.4">
      <c r="A75" s="4" t="s">
        <v>2</v>
      </c>
      <c r="B75" s="5">
        <v>100000</v>
      </c>
      <c r="C75" s="6"/>
      <c r="D75" s="5">
        <f>B75/3</f>
        <v>33333.333333333336</v>
      </c>
    </row>
    <row r="76" spans="1:4" ht="21" x14ac:dyDescent="0.4">
      <c r="A76" s="18" t="s">
        <v>27</v>
      </c>
      <c r="B76" s="5">
        <v>20000</v>
      </c>
      <c r="C76" s="6"/>
      <c r="D76" s="5">
        <f>B76</f>
        <v>20000</v>
      </c>
    </row>
    <row r="77" spans="1:4" ht="21" x14ac:dyDescent="0.4">
      <c r="A77" s="4" t="s">
        <v>98</v>
      </c>
      <c r="B77" s="5">
        <v>130000</v>
      </c>
      <c r="C77" s="6"/>
      <c r="D77" s="5">
        <f>B77</f>
        <v>130000</v>
      </c>
    </row>
    <row r="78" spans="1:4" ht="21" x14ac:dyDescent="0.4">
      <c r="A78" s="4" t="s">
        <v>5</v>
      </c>
      <c r="B78" s="5">
        <v>0</v>
      </c>
      <c r="C78" s="6"/>
      <c r="D78" s="5">
        <f>B78</f>
        <v>0</v>
      </c>
    </row>
    <row r="79" spans="1:4" ht="21" x14ac:dyDescent="0.4">
      <c r="A79" s="3" t="s">
        <v>6</v>
      </c>
      <c r="B79" s="2"/>
      <c r="D79" s="11">
        <f>D80*10%</f>
        <v>20333.333333333336</v>
      </c>
    </row>
    <row r="80" spans="1:4" ht="21.6" thickBot="1" x14ac:dyDescent="0.45">
      <c r="A80" s="3" t="s">
        <v>7</v>
      </c>
      <c r="B80" s="2"/>
      <c r="D80" s="12">
        <f>D74+D75+D77+D78+D76</f>
        <v>203333.33333333334</v>
      </c>
    </row>
    <row r="81" spans="1:4" ht="21.6" thickTop="1" x14ac:dyDescent="0.4">
      <c r="A81" s="3" t="s">
        <v>8</v>
      </c>
      <c r="B81" s="2"/>
      <c r="D81" s="14">
        <f>D80+D79</f>
        <v>223666.66666666669</v>
      </c>
    </row>
    <row r="82" spans="1:4" ht="21" x14ac:dyDescent="0.4">
      <c r="A82" s="3" t="s">
        <v>9</v>
      </c>
      <c r="B82" s="2"/>
      <c r="D82" s="14">
        <f>D81/3500</f>
        <v>63.904761904761912</v>
      </c>
    </row>
    <row r="85" spans="1:4" ht="21" x14ac:dyDescent="0.4">
      <c r="A85" s="15" t="s">
        <v>38</v>
      </c>
      <c r="B85" s="16">
        <v>20</v>
      </c>
      <c r="D85" s="2"/>
    </row>
    <row r="86" spans="1:4" ht="21" x14ac:dyDescent="0.4">
      <c r="A86" s="3"/>
      <c r="B86" s="2"/>
      <c r="D86" s="3" t="s">
        <v>1</v>
      </c>
    </row>
    <row r="87" spans="1:4" ht="21" x14ac:dyDescent="0.4">
      <c r="A87" s="4" t="s">
        <v>1</v>
      </c>
      <c r="B87" s="5">
        <v>180000</v>
      </c>
      <c r="D87" s="5">
        <f>B87/3</f>
        <v>60000</v>
      </c>
    </row>
    <row r="88" spans="1:4" ht="21" x14ac:dyDescent="0.4">
      <c r="A88" s="4" t="s">
        <v>5</v>
      </c>
      <c r="B88" s="5">
        <v>10000</v>
      </c>
      <c r="D88" s="5">
        <f>B88</f>
        <v>10000</v>
      </c>
    </row>
    <row r="89" spans="1:4" ht="21" x14ac:dyDescent="0.4">
      <c r="A89" s="4" t="s">
        <v>2</v>
      </c>
      <c r="B89" s="5">
        <v>100000</v>
      </c>
      <c r="D89" s="5">
        <f>B89/3</f>
        <v>33333.333333333336</v>
      </c>
    </row>
    <row r="90" spans="1:4" ht="21" x14ac:dyDescent="0.4">
      <c r="A90" s="3" t="s">
        <v>6</v>
      </c>
      <c r="B90" s="2"/>
      <c r="D90" s="11">
        <f>D91*10%</f>
        <v>10333.333333333336</v>
      </c>
    </row>
    <row r="91" spans="1:4" ht="21.6" thickBot="1" x14ac:dyDescent="0.45">
      <c r="A91" s="3" t="s">
        <v>7</v>
      </c>
      <c r="B91" s="2"/>
      <c r="D91" s="12">
        <f>D87+D88+D89</f>
        <v>103333.33333333334</v>
      </c>
    </row>
    <row r="92" spans="1:4" ht="21.6" thickTop="1" x14ac:dyDescent="0.4">
      <c r="A92" s="3" t="s">
        <v>8</v>
      </c>
      <c r="B92" s="2"/>
      <c r="D92" s="14">
        <f>D91+D90</f>
        <v>113666.66666666669</v>
      </c>
    </row>
    <row r="93" spans="1:4" ht="21" x14ac:dyDescent="0.4">
      <c r="A93" s="3" t="s">
        <v>9</v>
      </c>
      <c r="B93" s="2"/>
      <c r="D93" s="17">
        <f>D92/3500</f>
        <v>32.476190476190482</v>
      </c>
    </row>
    <row r="96" spans="1:4" ht="21" x14ac:dyDescent="0.4">
      <c r="A96" s="1" t="s">
        <v>188</v>
      </c>
      <c r="B96" s="2">
        <v>140</v>
      </c>
      <c r="D96" s="2"/>
    </row>
    <row r="97" spans="1:4" ht="21" x14ac:dyDescent="0.4">
      <c r="A97" s="3"/>
      <c r="B97" s="2"/>
      <c r="D97" s="3" t="s">
        <v>1</v>
      </c>
    </row>
    <row r="98" spans="1:4" ht="21" x14ac:dyDescent="0.4">
      <c r="A98" s="4" t="s">
        <v>28</v>
      </c>
      <c r="B98" s="5">
        <v>200000</v>
      </c>
      <c r="C98" s="6"/>
      <c r="D98" s="5">
        <f>B98/18</f>
        <v>11111.111111111111</v>
      </c>
    </row>
    <row r="99" spans="1:4" ht="21" x14ac:dyDescent="0.4">
      <c r="A99" s="4" t="s">
        <v>2</v>
      </c>
      <c r="B99" s="5">
        <v>300000</v>
      </c>
      <c r="C99" s="6"/>
      <c r="D99" s="5">
        <f>B99/18</f>
        <v>16666.666666666668</v>
      </c>
    </row>
    <row r="100" spans="1:4" ht="21" x14ac:dyDescent="0.4">
      <c r="A100" s="18" t="s">
        <v>27</v>
      </c>
      <c r="B100" s="5">
        <v>30000</v>
      </c>
      <c r="C100" s="6"/>
      <c r="D100" s="5">
        <f>B100</f>
        <v>30000</v>
      </c>
    </row>
    <row r="101" spans="1:4" ht="21" x14ac:dyDescent="0.4">
      <c r="A101" s="4" t="s">
        <v>33</v>
      </c>
      <c r="B101" s="5">
        <v>690000</v>
      </c>
      <c r="C101" s="6"/>
      <c r="D101" s="5">
        <f>B101</f>
        <v>690000</v>
      </c>
    </row>
    <row r="102" spans="1:4" ht="21" x14ac:dyDescent="0.4">
      <c r="A102" s="4" t="s">
        <v>5</v>
      </c>
      <c r="B102" s="5">
        <v>0</v>
      </c>
      <c r="C102" s="6"/>
      <c r="D102" s="5">
        <f>B102</f>
        <v>0</v>
      </c>
    </row>
    <row r="103" spans="1:4" ht="21" x14ac:dyDescent="0.4">
      <c r="A103" s="3" t="s">
        <v>6</v>
      </c>
      <c r="B103" s="2"/>
      <c r="D103" s="11">
        <f>D104*5%</f>
        <v>35888.888888888891</v>
      </c>
    </row>
    <row r="104" spans="1:4" ht="21.6" thickBot="1" x14ac:dyDescent="0.45">
      <c r="A104" s="3" t="s">
        <v>7</v>
      </c>
      <c r="B104" s="2"/>
      <c r="D104" s="12">
        <f>D98+D99+D101+D102</f>
        <v>717777.77777777775</v>
      </c>
    </row>
    <row r="105" spans="1:4" ht="21.6" thickTop="1" x14ac:dyDescent="0.4">
      <c r="A105" s="3" t="s">
        <v>8</v>
      </c>
      <c r="B105" s="2"/>
      <c r="D105" s="14">
        <f>D104+D103</f>
        <v>753666.66666666663</v>
      </c>
    </row>
    <row r="106" spans="1:4" ht="21" x14ac:dyDescent="0.4">
      <c r="A106" s="3" t="s">
        <v>9</v>
      </c>
      <c r="B106" s="2"/>
      <c r="D106" s="14">
        <f>D105/3500</f>
        <v>215.33333333333331</v>
      </c>
    </row>
    <row r="109" spans="1:4" ht="21" x14ac:dyDescent="0.4">
      <c r="A109" s="1" t="s">
        <v>189</v>
      </c>
      <c r="B109" s="2">
        <v>140</v>
      </c>
      <c r="D109" s="2"/>
    </row>
    <row r="110" spans="1:4" ht="21" x14ac:dyDescent="0.4">
      <c r="A110" s="3"/>
      <c r="B110" s="2"/>
      <c r="D110" s="3" t="s">
        <v>1</v>
      </c>
    </row>
    <row r="111" spans="1:4" ht="21" x14ac:dyDescent="0.4">
      <c r="A111" s="4" t="s">
        <v>28</v>
      </c>
      <c r="B111" s="5">
        <v>200000</v>
      </c>
      <c r="C111" s="6"/>
      <c r="D111" s="5">
        <f>B111/18</f>
        <v>11111.111111111111</v>
      </c>
    </row>
    <row r="112" spans="1:4" ht="21" x14ac:dyDescent="0.4">
      <c r="A112" s="4" t="s">
        <v>2</v>
      </c>
      <c r="B112" s="5">
        <v>300000</v>
      </c>
      <c r="C112" s="6"/>
      <c r="D112" s="5">
        <f>B112/18</f>
        <v>16666.666666666668</v>
      </c>
    </row>
    <row r="113" spans="1:4" ht="21" x14ac:dyDescent="0.4">
      <c r="A113" s="18" t="s">
        <v>27</v>
      </c>
      <c r="B113" s="5">
        <v>30000</v>
      </c>
      <c r="C113" s="6"/>
      <c r="D113" s="5">
        <f>B113</f>
        <v>30000</v>
      </c>
    </row>
    <row r="114" spans="1:4" ht="21" x14ac:dyDescent="0.4">
      <c r="A114" s="4" t="s">
        <v>33</v>
      </c>
      <c r="B114" s="5">
        <v>360000</v>
      </c>
      <c r="C114" s="6"/>
      <c r="D114" s="5">
        <f>B114</f>
        <v>360000</v>
      </c>
    </row>
    <row r="115" spans="1:4" ht="21" x14ac:dyDescent="0.4">
      <c r="A115" s="4" t="s">
        <v>5</v>
      </c>
      <c r="B115" s="5">
        <v>0</v>
      </c>
      <c r="C115" s="6"/>
      <c r="D115" s="5">
        <f>B115</f>
        <v>0</v>
      </c>
    </row>
    <row r="116" spans="1:4" ht="21" x14ac:dyDescent="0.4">
      <c r="A116" s="3" t="s">
        <v>6</v>
      </c>
      <c r="B116" s="2"/>
      <c r="D116" s="11">
        <f>D117*5%</f>
        <v>19388.888888888887</v>
      </c>
    </row>
    <row r="117" spans="1:4" ht="21.6" thickBot="1" x14ac:dyDescent="0.45">
      <c r="A117" s="3" t="s">
        <v>7</v>
      </c>
      <c r="B117" s="2"/>
      <c r="D117" s="12">
        <f>D111+D112+D114+D115</f>
        <v>387777.77777777775</v>
      </c>
    </row>
    <row r="118" spans="1:4" ht="21.6" thickTop="1" x14ac:dyDescent="0.4">
      <c r="A118" s="3" t="s">
        <v>8</v>
      </c>
      <c r="B118" s="2"/>
      <c r="D118" s="14">
        <f>D117+D116</f>
        <v>407166.66666666663</v>
      </c>
    </row>
    <row r="119" spans="1:4" ht="21" x14ac:dyDescent="0.4">
      <c r="A119" s="3" t="s">
        <v>9</v>
      </c>
      <c r="B119" s="2"/>
      <c r="D119" s="14">
        <f>D118/3500</f>
        <v>116.33333333333333</v>
      </c>
    </row>
    <row r="122" spans="1:4" ht="21" x14ac:dyDescent="0.4">
      <c r="A122" s="1" t="s">
        <v>190</v>
      </c>
      <c r="B122" s="2">
        <v>140</v>
      </c>
      <c r="D122" s="2"/>
    </row>
    <row r="123" spans="1:4" ht="21" x14ac:dyDescent="0.4">
      <c r="A123" s="3"/>
      <c r="B123" s="2"/>
      <c r="D123" s="3" t="s">
        <v>1</v>
      </c>
    </row>
    <row r="124" spans="1:4" ht="21" x14ac:dyDescent="0.4">
      <c r="A124" s="4" t="s">
        <v>28</v>
      </c>
      <c r="B124" s="5">
        <v>500000</v>
      </c>
      <c r="C124" s="6"/>
      <c r="D124" s="5">
        <f>B124/18</f>
        <v>27777.777777777777</v>
      </c>
    </row>
    <row r="125" spans="1:4" ht="21" x14ac:dyDescent="0.4">
      <c r="A125" s="4" t="s">
        <v>2</v>
      </c>
      <c r="B125" s="5">
        <v>300000</v>
      </c>
      <c r="C125" s="6"/>
      <c r="D125" s="5">
        <f>B125/18</f>
        <v>16666.666666666668</v>
      </c>
    </row>
    <row r="126" spans="1:4" ht="21" x14ac:dyDescent="0.4">
      <c r="A126" s="18" t="s">
        <v>27</v>
      </c>
      <c r="B126" s="5">
        <v>30000</v>
      </c>
      <c r="C126" s="6"/>
      <c r="D126" s="5">
        <f>B126</f>
        <v>30000</v>
      </c>
    </row>
    <row r="127" spans="1:4" ht="21" x14ac:dyDescent="0.4">
      <c r="A127" s="4" t="s">
        <v>191</v>
      </c>
      <c r="B127" s="5">
        <v>420000</v>
      </c>
      <c r="C127" s="6"/>
      <c r="D127" s="5">
        <f>B127</f>
        <v>420000</v>
      </c>
    </row>
    <row r="128" spans="1:4" ht="21" x14ac:dyDescent="0.4">
      <c r="A128" s="4" t="s">
        <v>5</v>
      </c>
      <c r="B128" s="5">
        <v>0</v>
      </c>
      <c r="C128" s="6"/>
      <c r="D128" s="5">
        <f>B128</f>
        <v>0</v>
      </c>
    </row>
    <row r="129" spans="1:4" ht="21" x14ac:dyDescent="0.4">
      <c r="A129" s="3" t="s">
        <v>6</v>
      </c>
      <c r="B129" s="2"/>
      <c r="D129" s="11">
        <f>D130*5%</f>
        <v>23222.222222222223</v>
      </c>
    </row>
    <row r="130" spans="1:4" ht="21.6" thickBot="1" x14ac:dyDescent="0.45">
      <c r="A130" s="3" t="s">
        <v>7</v>
      </c>
      <c r="B130" s="2"/>
      <c r="D130" s="12">
        <f>D124+D125+D127+D128</f>
        <v>464444.44444444444</v>
      </c>
    </row>
    <row r="131" spans="1:4" ht="21.6" thickTop="1" x14ac:dyDescent="0.4">
      <c r="A131" s="3" t="s">
        <v>8</v>
      </c>
      <c r="B131" s="2"/>
      <c r="D131" s="14">
        <f>D130+D129</f>
        <v>487666.66666666669</v>
      </c>
    </row>
    <row r="132" spans="1:4" ht="21" x14ac:dyDescent="0.4">
      <c r="A132" s="3" t="s">
        <v>9</v>
      </c>
      <c r="B132" s="2"/>
      <c r="D132" s="14">
        <f>D131/3500</f>
        <v>139.33333333333334</v>
      </c>
    </row>
  </sheetData>
  <mergeCells count="2">
    <mergeCell ref="I3:J3"/>
    <mergeCell ref="I11:J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6FD8-6995-4FC5-AE94-C34A120AB559}">
  <sheetPr>
    <tabColor theme="4" tint="-0.249977111117893"/>
  </sheetPr>
  <dimension ref="A1:K67"/>
  <sheetViews>
    <sheetView topLeftCell="A18" zoomScaleNormal="100" workbookViewId="0">
      <selection sqref="A1:D40"/>
    </sheetView>
  </sheetViews>
  <sheetFormatPr baseColWidth="10" defaultRowHeight="14.4" x14ac:dyDescent="0.3"/>
  <cols>
    <col min="1" max="1" width="36.44140625" bestFit="1" customWidth="1"/>
    <col min="2" max="2" width="16" bestFit="1" customWidth="1"/>
    <col min="4" max="4" width="16.44140625" bestFit="1" customWidth="1"/>
    <col min="5" max="5" width="22.109375" customWidth="1"/>
    <col min="6" max="6" width="18.88671875" customWidth="1"/>
    <col min="7" max="7" width="36.44140625" bestFit="1" customWidth="1"/>
    <col min="8" max="8" width="17.5546875" bestFit="1" customWidth="1"/>
    <col min="9" max="9" width="15.44140625" customWidth="1"/>
    <col min="10" max="10" width="13.88671875" bestFit="1" customWidth="1"/>
  </cols>
  <sheetData>
    <row r="1" spans="1:11" ht="21.6" thickBot="1" x14ac:dyDescent="0.45">
      <c r="A1" s="1" t="s">
        <v>0</v>
      </c>
      <c r="B1" s="2">
        <v>48</v>
      </c>
      <c r="D1" s="3"/>
      <c r="E1" s="3"/>
      <c r="K1" s="3"/>
    </row>
    <row r="2" spans="1:11" ht="24" thickBot="1" x14ac:dyDescent="0.5">
      <c r="A2" s="3"/>
      <c r="B2" s="2"/>
      <c r="D2" s="3" t="s">
        <v>1</v>
      </c>
      <c r="E2" s="3"/>
      <c r="G2" s="202" t="s">
        <v>45</v>
      </c>
      <c r="H2" s="203"/>
      <c r="I2" s="204"/>
      <c r="K2" s="3"/>
    </row>
    <row r="3" spans="1:11" ht="58.2" thickBot="1" x14ac:dyDescent="0.45">
      <c r="A3" s="4" t="s">
        <v>1</v>
      </c>
      <c r="B3" s="5">
        <v>1200000</v>
      </c>
      <c r="C3" s="6"/>
      <c r="D3" s="7">
        <f>B3/25</f>
        <v>48000</v>
      </c>
      <c r="E3" s="163">
        <f>B3*3</f>
        <v>3600000</v>
      </c>
      <c r="G3" s="93" t="s">
        <v>43</v>
      </c>
      <c r="H3" s="94" t="s">
        <v>44</v>
      </c>
      <c r="I3" s="94" t="s">
        <v>47</v>
      </c>
      <c r="K3" s="3"/>
    </row>
    <row r="4" spans="1:11" ht="21" x14ac:dyDescent="0.4">
      <c r="A4" s="4" t="s">
        <v>2</v>
      </c>
      <c r="B4" s="5">
        <v>400000</v>
      </c>
      <c r="C4" s="6"/>
      <c r="D4" s="7">
        <f>B4/25</f>
        <v>16000</v>
      </c>
      <c r="E4" s="164">
        <f>B4*3</f>
        <v>1200000</v>
      </c>
      <c r="G4" s="95" t="s">
        <v>0</v>
      </c>
      <c r="H4" s="96">
        <v>55</v>
      </c>
      <c r="I4" s="97">
        <v>30</v>
      </c>
      <c r="K4" s="2"/>
    </row>
    <row r="5" spans="1:11" ht="21" x14ac:dyDescent="0.4">
      <c r="A5" s="4" t="s">
        <v>3</v>
      </c>
      <c r="B5" s="10">
        <v>15000</v>
      </c>
      <c r="C5" s="6"/>
      <c r="D5" s="7">
        <f>B5</f>
        <v>15000</v>
      </c>
      <c r="E5" s="2">
        <f>B5*90</f>
        <v>1350000</v>
      </c>
      <c r="G5" s="41" t="s">
        <v>10</v>
      </c>
      <c r="H5" s="5">
        <v>30</v>
      </c>
      <c r="I5" s="43">
        <v>15</v>
      </c>
      <c r="K5" s="2"/>
    </row>
    <row r="6" spans="1:11" ht="21" x14ac:dyDescent="0.4">
      <c r="A6" s="4" t="s">
        <v>4</v>
      </c>
      <c r="B6" s="5">
        <v>50000</v>
      </c>
      <c r="C6" s="6"/>
      <c r="D6" s="7">
        <f>B6</f>
        <v>50000</v>
      </c>
      <c r="E6" s="165">
        <f>B6*90</f>
        <v>4500000</v>
      </c>
      <c r="G6" s="41" t="s">
        <v>11</v>
      </c>
      <c r="H6" s="5">
        <v>65</v>
      </c>
      <c r="I6" s="43">
        <v>40</v>
      </c>
      <c r="K6" s="2"/>
    </row>
    <row r="7" spans="1:11" ht="21" x14ac:dyDescent="0.4">
      <c r="A7" s="4" t="s">
        <v>5</v>
      </c>
      <c r="B7" s="5">
        <v>30000</v>
      </c>
      <c r="C7" s="6"/>
      <c r="D7" s="7">
        <f>B7</f>
        <v>30000</v>
      </c>
      <c r="E7" s="162">
        <f>B7*90</f>
        <v>2700000</v>
      </c>
      <c r="G7" s="41" t="s">
        <v>21</v>
      </c>
      <c r="H7" s="5">
        <v>25</v>
      </c>
      <c r="I7" s="43">
        <v>15</v>
      </c>
      <c r="K7" s="2"/>
    </row>
    <row r="8" spans="1:11" ht="21.6" thickBot="1" x14ac:dyDescent="0.45">
      <c r="A8" s="3" t="s">
        <v>6</v>
      </c>
      <c r="B8" s="2"/>
      <c r="D8" s="11">
        <f>D9*5%</f>
        <v>7950</v>
      </c>
      <c r="E8" s="16">
        <f>D8*90</f>
        <v>715500</v>
      </c>
      <c r="G8" s="42" t="s">
        <v>41</v>
      </c>
      <c r="H8" s="98">
        <v>45</v>
      </c>
      <c r="I8" s="44">
        <v>20</v>
      </c>
      <c r="K8" s="2"/>
    </row>
    <row r="9" spans="1:11" ht="21.6" thickBot="1" x14ac:dyDescent="0.45">
      <c r="A9" s="3" t="s">
        <v>7</v>
      </c>
      <c r="B9" s="2"/>
      <c r="D9" s="12">
        <f>D3+D4+D5+D6+D7</f>
        <v>159000</v>
      </c>
      <c r="E9" s="13">
        <f>E3+E4+E5+E6+E7</f>
        <v>13350000</v>
      </c>
      <c r="G9" s="205" t="s">
        <v>46</v>
      </c>
      <c r="H9" s="206"/>
      <c r="I9" s="207"/>
      <c r="K9" s="13"/>
    </row>
    <row r="10" spans="1:11" ht="21.6" thickTop="1" x14ac:dyDescent="0.4">
      <c r="A10" s="3" t="s">
        <v>8</v>
      </c>
      <c r="B10" s="2"/>
      <c r="D10" s="14">
        <f>D9+D8</f>
        <v>166950</v>
      </c>
      <c r="E10" s="2"/>
      <c r="H10" s="19">
        <f>H4+H5+H6+H7+H8</f>
        <v>220</v>
      </c>
      <c r="K10" s="14"/>
    </row>
    <row r="11" spans="1:11" ht="21" x14ac:dyDescent="0.4">
      <c r="A11" s="3" t="s">
        <v>9</v>
      </c>
      <c r="B11" s="2"/>
      <c r="D11" s="14">
        <f>D10/3200</f>
        <v>52.171875</v>
      </c>
      <c r="E11" s="2"/>
      <c r="H11" s="19">
        <f>H10*90</f>
        <v>19800</v>
      </c>
      <c r="I11" s="19">
        <f>H11*4000</f>
        <v>79200000</v>
      </c>
      <c r="K11" s="14"/>
    </row>
    <row r="12" spans="1:11" ht="21" x14ac:dyDescent="0.4">
      <c r="A12" s="3"/>
      <c r="B12" s="2"/>
      <c r="D12" s="3"/>
      <c r="E12" s="3"/>
      <c r="I12" s="19">
        <f>I11-H23</f>
        <v>28890000</v>
      </c>
      <c r="K12" s="3"/>
    </row>
    <row r="14" spans="1:11" ht="21" x14ac:dyDescent="0.4">
      <c r="A14" s="15" t="s">
        <v>10</v>
      </c>
      <c r="B14" s="2">
        <v>22</v>
      </c>
      <c r="C14">
        <v>0</v>
      </c>
      <c r="D14" s="2"/>
    </row>
    <row r="15" spans="1:11" ht="21" x14ac:dyDescent="0.4">
      <c r="A15" s="3"/>
      <c r="B15" s="2"/>
      <c r="D15" s="3" t="s">
        <v>1</v>
      </c>
    </row>
    <row r="16" spans="1:11" ht="21" x14ac:dyDescent="0.4">
      <c r="A16" s="4" t="s">
        <v>1</v>
      </c>
      <c r="B16" s="5">
        <v>1300000</v>
      </c>
      <c r="D16" s="5">
        <f>B16/25</f>
        <v>52000</v>
      </c>
      <c r="E16" s="163">
        <f>B16*4</f>
        <v>5200000</v>
      </c>
      <c r="G16" s="167" t="s">
        <v>100</v>
      </c>
      <c r="H16" s="2">
        <f>E16+E30+E43</f>
        <v>14800000</v>
      </c>
    </row>
    <row r="17" spans="1:9" ht="21" x14ac:dyDescent="0.4">
      <c r="A17" s="4" t="s">
        <v>5</v>
      </c>
      <c r="B17" s="5">
        <v>10000</v>
      </c>
      <c r="D17" s="5">
        <f>B17</f>
        <v>10000</v>
      </c>
      <c r="E17" s="162">
        <f>B17*90</f>
        <v>900000</v>
      </c>
      <c r="G17" s="168" t="s">
        <v>203</v>
      </c>
      <c r="H17" s="2">
        <f>E55</f>
        <v>7200000</v>
      </c>
    </row>
    <row r="18" spans="1:9" ht="21" x14ac:dyDescent="0.4">
      <c r="A18" s="4" t="s">
        <v>2</v>
      </c>
      <c r="B18" s="5">
        <v>200000</v>
      </c>
      <c r="D18" s="5">
        <f>B18/25</f>
        <v>8000</v>
      </c>
      <c r="E18" s="164">
        <f>B18*4</f>
        <v>800000</v>
      </c>
      <c r="G18" s="169" t="s">
        <v>204</v>
      </c>
      <c r="H18" s="2">
        <f>E4+E18+E31+E45</f>
        <v>4100000</v>
      </c>
    </row>
    <row r="19" spans="1:9" ht="21" x14ac:dyDescent="0.4">
      <c r="A19" s="3" t="s">
        <v>6</v>
      </c>
      <c r="B19" s="2"/>
      <c r="D19" s="11">
        <f>D20*10%</f>
        <v>7000</v>
      </c>
      <c r="E19" s="16">
        <f>D19*90</f>
        <v>630000</v>
      </c>
      <c r="G19" s="170" t="s">
        <v>205</v>
      </c>
      <c r="H19" s="2">
        <f>E7+E17+E34+E44+E56</f>
        <v>9450000</v>
      </c>
    </row>
    <row r="20" spans="1:9" ht="21.6" thickBot="1" x14ac:dyDescent="0.45">
      <c r="A20" s="3" t="s">
        <v>7</v>
      </c>
      <c r="B20" s="2"/>
      <c r="D20" s="12">
        <f>D16+D17+D18</f>
        <v>70000</v>
      </c>
      <c r="E20" s="13">
        <f>E16+E17+E18</f>
        <v>6900000</v>
      </c>
      <c r="G20" s="171" t="s">
        <v>206</v>
      </c>
      <c r="H20" s="2">
        <f>E33+E6</f>
        <v>11700000</v>
      </c>
    </row>
    <row r="21" spans="1:9" ht="21.6" thickTop="1" x14ac:dyDescent="0.4">
      <c r="A21" s="3" t="s">
        <v>8</v>
      </c>
      <c r="B21" s="2"/>
      <c r="D21" s="14">
        <f>D20+D19</f>
        <v>77000</v>
      </c>
      <c r="E21" s="14"/>
      <c r="G21" s="3" t="s">
        <v>207</v>
      </c>
      <c r="H21" s="2">
        <f>E5+E32</f>
        <v>2700000</v>
      </c>
    </row>
    <row r="22" spans="1:9" ht="21" x14ac:dyDescent="0.4">
      <c r="A22" s="3" t="s">
        <v>9</v>
      </c>
      <c r="B22" s="2"/>
      <c r="D22" s="14">
        <f>D21/3500</f>
        <v>22</v>
      </c>
      <c r="E22" s="14"/>
      <c r="G22" s="3" t="s">
        <v>208</v>
      </c>
      <c r="H22" s="2">
        <f>4000*90</f>
        <v>360000</v>
      </c>
    </row>
    <row r="23" spans="1:9" ht="21" x14ac:dyDescent="0.4">
      <c r="H23" s="172">
        <f>SUM(H16:H22)</f>
        <v>50310000</v>
      </c>
    </row>
    <row r="28" spans="1:9" ht="21" x14ac:dyDescent="0.4">
      <c r="A28" s="1" t="s">
        <v>11</v>
      </c>
      <c r="B28" s="2">
        <v>67</v>
      </c>
      <c r="D28" s="2"/>
      <c r="I28">
        <f>770</f>
        <v>770</v>
      </c>
    </row>
    <row r="29" spans="1:9" ht="21" x14ac:dyDescent="0.4">
      <c r="A29" s="3"/>
      <c r="B29" s="2"/>
      <c r="D29" s="3" t="s">
        <v>1</v>
      </c>
      <c r="H29">
        <f>1600+1600</f>
        <v>3200</v>
      </c>
      <c r="I29">
        <f>660</f>
        <v>660</v>
      </c>
    </row>
    <row r="30" spans="1:9" ht="21" x14ac:dyDescent="0.4">
      <c r="A30" s="4" t="s">
        <v>1</v>
      </c>
      <c r="B30" s="5">
        <v>1600000</v>
      </c>
      <c r="C30" s="6"/>
      <c r="D30" s="5">
        <f>B30/25</f>
        <v>64000</v>
      </c>
      <c r="E30" s="163">
        <f>B30*3</f>
        <v>4800000</v>
      </c>
      <c r="I30">
        <f>660</f>
        <v>660</v>
      </c>
    </row>
    <row r="31" spans="1:9" ht="21" x14ac:dyDescent="0.4">
      <c r="A31" s="4" t="s">
        <v>2</v>
      </c>
      <c r="B31" s="5">
        <v>500000</v>
      </c>
      <c r="C31" s="6"/>
      <c r="D31" s="5">
        <f>B31/25</f>
        <v>20000</v>
      </c>
      <c r="E31" s="164">
        <f>B31*3</f>
        <v>1500000</v>
      </c>
      <c r="I31">
        <f>I28+I29+I30</f>
        <v>2090</v>
      </c>
    </row>
    <row r="32" spans="1:9" ht="21" x14ac:dyDescent="0.4">
      <c r="A32" s="18" t="s">
        <v>12</v>
      </c>
      <c r="B32" s="5">
        <v>15000</v>
      </c>
      <c r="C32" s="6"/>
      <c r="D32" s="5">
        <f>B32</f>
        <v>15000</v>
      </c>
      <c r="E32" s="2">
        <f>B32*90</f>
        <v>1350000</v>
      </c>
    </row>
    <row r="33" spans="1:5" ht="21" x14ac:dyDescent="0.4">
      <c r="A33" s="4" t="s">
        <v>4</v>
      </c>
      <c r="B33" s="5">
        <v>80000</v>
      </c>
      <c r="C33" s="6"/>
      <c r="D33" s="5">
        <f>B33</f>
        <v>80000</v>
      </c>
      <c r="E33" s="165">
        <f>B33*90</f>
        <v>7200000</v>
      </c>
    </row>
    <row r="34" spans="1:5" ht="21" x14ac:dyDescent="0.4">
      <c r="A34" s="4" t="s">
        <v>5</v>
      </c>
      <c r="B34" s="5">
        <v>25000</v>
      </c>
      <c r="C34" s="6"/>
      <c r="D34" s="5">
        <f>B34</f>
        <v>25000</v>
      </c>
      <c r="E34" s="162">
        <f>B34*90</f>
        <v>2250000</v>
      </c>
    </row>
    <row r="35" spans="1:5" ht="21" x14ac:dyDescent="0.4">
      <c r="A35" s="3" t="s">
        <v>6</v>
      </c>
      <c r="B35" s="2"/>
      <c r="D35" s="11">
        <f>D36*15%</f>
        <v>30600</v>
      </c>
      <c r="E35" s="16">
        <f>D35*90</f>
        <v>2754000</v>
      </c>
    </row>
    <row r="36" spans="1:5" ht="21.6" thickBot="1" x14ac:dyDescent="0.45">
      <c r="A36" s="3" t="s">
        <v>7</v>
      </c>
      <c r="B36" s="2"/>
      <c r="D36" s="12">
        <f>D30+D31+D34+D32+D33</f>
        <v>204000</v>
      </c>
      <c r="E36" s="13">
        <f>E30+E31+E32+E33+E34</f>
        <v>17100000</v>
      </c>
    </row>
    <row r="37" spans="1:5" ht="21.6" thickTop="1" x14ac:dyDescent="0.4">
      <c r="A37" s="3" t="s">
        <v>8</v>
      </c>
      <c r="B37" s="2"/>
      <c r="D37" s="14">
        <f>D36+D35</f>
        <v>234600</v>
      </c>
      <c r="E37" s="14"/>
    </row>
    <row r="38" spans="1:5" ht="21" x14ac:dyDescent="0.4">
      <c r="A38" s="3" t="s">
        <v>9</v>
      </c>
      <c r="B38" s="2"/>
      <c r="D38" s="14">
        <f>D37/3500</f>
        <v>67.028571428571425</v>
      </c>
      <c r="E38" s="14"/>
    </row>
    <row r="41" spans="1:5" ht="21" x14ac:dyDescent="0.4">
      <c r="A41" s="15" t="s">
        <v>21</v>
      </c>
      <c r="B41" s="2">
        <v>26</v>
      </c>
      <c r="C41">
        <v>0</v>
      </c>
      <c r="D41" s="2"/>
    </row>
    <row r="42" spans="1:5" ht="21" x14ac:dyDescent="0.4">
      <c r="A42" s="3"/>
      <c r="B42" s="2"/>
      <c r="D42" s="3" t="s">
        <v>1</v>
      </c>
    </row>
    <row r="43" spans="1:5" ht="21" x14ac:dyDescent="0.4">
      <c r="A43" s="4" t="s">
        <v>1</v>
      </c>
      <c r="B43" s="5">
        <v>1600000</v>
      </c>
      <c r="D43" s="5">
        <f>B43/25</f>
        <v>64000</v>
      </c>
      <c r="E43" s="163">
        <f>B43*3</f>
        <v>4800000</v>
      </c>
    </row>
    <row r="44" spans="1:5" ht="21" x14ac:dyDescent="0.4">
      <c r="A44" s="4" t="s">
        <v>5</v>
      </c>
      <c r="B44" s="5">
        <v>10000</v>
      </c>
      <c r="D44" s="5">
        <f>B44</f>
        <v>10000</v>
      </c>
      <c r="E44" s="162">
        <f>B44*90</f>
        <v>900000</v>
      </c>
    </row>
    <row r="45" spans="1:5" ht="21" x14ac:dyDescent="0.4">
      <c r="A45" s="4" t="s">
        <v>2</v>
      </c>
      <c r="B45" s="5">
        <v>200000</v>
      </c>
      <c r="D45" s="5">
        <f>B45/25</f>
        <v>8000</v>
      </c>
      <c r="E45" s="164">
        <f>B45*3</f>
        <v>600000</v>
      </c>
    </row>
    <row r="46" spans="1:5" ht="21" x14ac:dyDescent="0.4">
      <c r="A46" s="3" t="s">
        <v>6</v>
      </c>
      <c r="B46" s="2"/>
      <c r="D46" s="11">
        <f>D47*10%</f>
        <v>8200</v>
      </c>
      <c r="E46" s="16">
        <f>D46*90</f>
        <v>738000</v>
      </c>
    </row>
    <row r="47" spans="1:5" ht="21.6" thickBot="1" x14ac:dyDescent="0.45">
      <c r="A47" s="3" t="s">
        <v>7</v>
      </c>
      <c r="B47" s="2"/>
      <c r="D47" s="12">
        <f>D43+D44+D45</f>
        <v>82000</v>
      </c>
      <c r="E47" s="13">
        <f>E43+E44+E45</f>
        <v>6300000</v>
      </c>
    </row>
    <row r="48" spans="1:5" ht="21.6" thickTop="1" x14ac:dyDescent="0.4">
      <c r="A48" s="3" t="s">
        <v>8</v>
      </c>
      <c r="B48" s="2"/>
      <c r="D48" s="14">
        <f>D47+D46</f>
        <v>90200</v>
      </c>
      <c r="E48" s="2"/>
    </row>
    <row r="49" spans="1:5" ht="21" x14ac:dyDescent="0.4">
      <c r="A49" s="3" t="s">
        <v>9</v>
      </c>
      <c r="B49" s="2"/>
      <c r="D49" s="14">
        <f>D48/3500</f>
        <v>25.771428571428572</v>
      </c>
      <c r="E49" s="13"/>
    </row>
    <row r="50" spans="1:5" ht="21" x14ac:dyDescent="0.4">
      <c r="E50" s="14"/>
    </row>
    <row r="51" spans="1:5" ht="21" x14ac:dyDescent="0.4">
      <c r="E51" s="14"/>
    </row>
    <row r="53" spans="1:5" ht="21" x14ac:dyDescent="0.4">
      <c r="A53" s="15" t="s">
        <v>42</v>
      </c>
      <c r="B53" s="2">
        <v>37</v>
      </c>
      <c r="C53">
        <v>0</v>
      </c>
      <c r="D53" s="2"/>
    </row>
    <row r="54" spans="1:5" ht="21" x14ac:dyDescent="0.4">
      <c r="A54" s="3"/>
      <c r="B54" s="2"/>
      <c r="D54" s="3" t="s">
        <v>1</v>
      </c>
    </row>
    <row r="55" spans="1:5" ht="21" x14ac:dyDescent="0.4">
      <c r="A55" s="4" t="s">
        <v>1</v>
      </c>
      <c r="B55" s="5">
        <v>80000</v>
      </c>
      <c r="D55" s="5">
        <f>B55</f>
        <v>80000</v>
      </c>
      <c r="E55" s="166">
        <f>B55*90</f>
        <v>7200000</v>
      </c>
    </row>
    <row r="56" spans="1:5" ht="21" x14ac:dyDescent="0.4">
      <c r="A56" s="4" t="s">
        <v>5</v>
      </c>
      <c r="B56" s="5">
        <v>30000</v>
      </c>
      <c r="D56" s="5">
        <f>B56</f>
        <v>30000</v>
      </c>
      <c r="E56" s="162">
        <f>B56*90</f>
        <v>2700000</v>
      </c>
    </row>
    <row r="57" spans="1:5" ht="21" x14ac:dyDescent="0.4">
      <c r="A57" s="4" t="s">
        <v>2</v>
      </c>
      <c r="B57" s="5">
        <v>200000</v>
      </c>
      <c r="D57" s="5">
        <f>B57/25</f>
        <v>8000</v>
      </c>
      <c r="E57" s="164">
        <f>B57*3</f>
        <v>600000</v>
      </c>
    </row>
    <row r="58" spans="1:5" ht="21" x14ac:dyDescent="0.4">
      <c r="A58" s="3" t="s">
        <v>6</v>
      </c>
      <c r="B58" s="2"/>
      <c r="D58" s="11">
        <f>D59*10%</f>
        <v>11800</v>
      </c>
      <c r="E58" s="2">
        <f>D58*90</f>
        <v>1062000</v>
      </c>
    </row>
    <row r="59" spans="1:5" ht="21.6" thickBot="1" x14ac:dyDescent="0.45">
      <c r="A59" s="3" t="s">
        <v>7</v>
      </c>
      <c r="B59" s="2"/>
      <c r="D59" s="12">
        <f>D55+D56+D57</f>
        <v>118000</v>
      </c>
      <c r="E59" s="13">
        <f>E55+E56+E57</f>
        <v>10500000</v>
      </c>
    </row>
    <row r="60" spans="1:5" ht="21.6" thickTop="1" x14ac:dyDescent="0.4">
      <c r="A60" s="3" t="s">
        <v>8</v>
      </c>
      <c r="B60" s="2"/>
      <c r="D60" s="14">
        <f>D59+D58</f>
        <v>129800</v>
      </c>
      <c r="E60" s="14"/>
    </row>
    <row r="61" spans="1:5" ht="21" x14ac:dyDescent="0.4">
      <c r="A61" s="3" t="s">
        <v>9</v>
      </c>
      <c r="B61" s="2"/>
      <c r="D61" s="14">
        <f>D60/3500</f>
        <v>37.085714285714289</v>
      </c>
      <c r="E61" s="14"/>
    </row>
    <row r="67" spans="6:6" x14ac:dyDescent="0.3">
      <c r="F67">
        <f>80*90</f>
        <v>7200</v>
      </c>
    </row>
  </sheetData>
  <mergeCells count="2">
    <mergeCell ref="G2:I2"/>
    <mergeCell ref="G9:I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1FFC1-BF7A-40B7-83A1-D7C776D48ED6}">
  <dimension ref="B3:E27"/>
  <sheetViews>
    <sheetView topLeftCell="A16" workbookViewId="0">
      <selection activeCell="C24" sqref="C24"/>
    </sheetView>
  </sheetViews>
  <sheetFormatPr baseColWidth="10" defaultRowHeight="14.4" x14ac:dyDescent="0.3"/>
  <cols>
    <col min="2" max="2" width="36.21875" bestFit="1" customWidth="1"/>
    <col min="3" max="3" width="15.88671875" bestFit="1" customWidth="1"/>
    <col min="5" max="5" width="13.5546875" bestFit="1" customWidth="1"/>
  </cols>
  <sheetData>
    <row r="3" spans="2:5" ht="21" x14ac:dyDescent="0.4">
      <c r="B3" s="1" t="s">
        <v>0</v>
      </c>
      <c r="C3" s="2">
        <v>48</v>
      </c>
      <c r="E3" s="3"/>
    </row>
    <row r="4" spans="2:5" ht="21" x14ac:dyDescent="0.4">
      <c r="B4" s="3"/>
      <c r="C4" s="2"/>
      <c r="E4" s="3" t="s">
        <v>1</v>
      </c>
    </row>
    <row r="5" spans="2:5" ht="21" x14ac:dyDescent="0.4">
      <c r="B5" s="4" t="s">
        <v>1</v>
      </c>
      <c r="C5" s="5">
        <v>1200000</v>
      </c>
      <c r="D5" s="6"/>
      <c r="E5" s="7">
        <f>C5/30</f>
        <v>40000</v>
      </c>
    </row>
    <row r="6" spans="2:5" ht="21" x14ac:dyDescent="0.4">
      <c r="B6" s="4" t="s">
        <v>2</v>
      </c>
      <c r="C6" s="5">
        <v>400000</v>
      </c>
      <c r="D6" s="6"/>
      <c r="E6" s="7">
        <f>C6/30</f>
        <v>13333.333333333334</v>
      </c>
    </row>
    <row r="7" spans="2:5" ht="21" x14ac:dyDescent="0.4">
      <c r="B7" s="4" t="s">
        <v>3</v>
      </c>
      <c r="C7" s="10">
        <v>15000</v>
      </c>
      <c r="D7" s="6"/>
      <c r="E7" s="7">
        <f>C7</f>
        <v>15000</v>
      </c>
    </row>
    <row r="8" spans="2:5" ht="21" x14ac:dyDescent="0.4">
      <c r="B8" s="4" t="s">
        <v>4</v>
      </c>
      <c r="C8" s="5">
        <v>25000</v>
      </c>
      <c r="D8" s="6"/>
      <c r="E8" s="7">
        <f>C8</f>
        <v>25000</v>
      </c>
    </row>
    <row r="9" spans="2:5" ht="21" x14ac:dyDescent="0.4">
      <c r="B9" s="4" t="s">
        <v>5</v>
      </c>
      <c r="C9" s="5">
        <v>10000</v>
      </c>
      <c r="D9" s="6"/>
      <c r="E9" s="7">
        <f>C9</f>
        <v>10000</v>
      </c>
    </row>
    <row r="10" spans="2:5" ht="21" x14ac:dyDescent="0.4">
      <c r="B10" s="3" t="s">
        <v>6</v>
      </c>
      <c r="C10" s="2"/>
      <c r="E10" s="11">
        <f>E11*15%</f>
        <v>15500</v>
      </c>
    </row>
    <row r="11" spans="2:5" ht="21.6" thickBot="1" x14ac:dyDescent="0.45">
      <c r="B11" s="3" t="s">
        <v>7</v>
      </c>
      <c r="C11" s="2"/>
      <c r="E11" s="12">
        <f>E5+E6+E7+E8+E9</f>
        <v>103333.33333333334</v>
      </c>
    </row>
    <row r="12" spans="2:5" ht="21.6" thickTop="1" x14ac:dyDescent="0.4">
      <c r="B12" s="3" t="s">
        <v>8</v>
      </c>
      <c r="C12" s="2"/>
      <c r="E12" s="14">
        <f>E11+E10</f>
        <v>118833.33333333334</v>
      </c>
    </row>
    <row r="13" spans="2:5" ht="21" x14ac:dyDescent="0.4">
      <c r="B13" s="3" t="s">
        <v>9</v>
      </c>
      <c r="C13" s="2"/>
      <c r="E13" s="14">
        <f>E12/3200</f>
        <v>37.135416666666671</v>
      </c>
    </row>
    <row r="14" spans="2:5" ht="21" x14ac:dyDescent="0.4">
      <c r="B14" s="3"/>
      <c r="C14" s="2"/>
      <c r="E14" s="3"/>
    </row>
    <row r="17" spans="2:5" ht="21" x14ac:dyDescent="0.4">
      <c r="B17" s="1" t="s">
        <v>11</v>
      </c>
      <c r="C17" s="2">
        <v>67</v>
      </c>
      <c r="E17" s="2"/>
    </row>
    <row r="18" spans="2:5" ht="21" x14ac:dyDescent="0.4">
      <c r="B18" s="3"/>
      <c r="C18" s="2"/>
      <c r="E18" s="3" t="s">
        <v>1</v>
      </c>
    </row>
    <row r="19" spans="2:5" ht="21" x14ac:dyDescent="0.4">
      <c r="B19" s="4" t="s">
        <v>1</v>
      </c>
      <c r="C19" s="5">
        <v>550000</v>
      </c>
      <c r="D19" s="6"/>
      <c r="E19" s="5">
        <f>C19/25</f>
        <v>22000</v>
      </c>
    </row>
    <row r="20" spans="2:5" ht="21" x14ac:dyDescent="0.4">
      <c r="B20" s="4" t="s">
        <v>2</v>
      </c>
      <c r="C20" s="5">
        <v>500000</v>
      </c>
      <c r="D20" s="6"/>
      <c r="E20" s="5">
        <f>C20/25</f>
        <v>20000</v>
      </c>
    </row>
    <row r="21" spans="2:5" ht="21" x14ac:dyDescent="0.4">
      <c r="B21" s="18" t="s">
        <v>12</v>
      </c>
      <c r="C21" s="5">
        <v>15000</v>
      </c>
      <c r="D21" s="6"/>
      <c r="E21" s="5">
        <f>C21</f>
        <v>15000</v>
      </c>
    </row>
    <row r="22" spans="2:5" ht="21" x14ac:dyDescent="0.4">
      <c r="B22" s="4" t="s">
        <v>4</v>
      </c>
      <c r="C22" s="5">
        <v>25000</v>
      </c>
      <c r="D22" s="6"/>
      <c r="E22" s="5">
        <f>C22</f>
        <v>25000</v>
      </c>
    </row>
    <row r="23" spans="2:5" ht="21" x14ac:dyDescent="0.4">
      <c r="B23" s="4" t="s">
        <v>5</v>
      </c>
      <c r="C23" s="5">
        <v>10000</v>
      </c>
      <c r="D23" s="6"/>
      <c r="E23" s="5">
        <f>C23</f>
        <v>10000</v>
      </c>
    </row>
    <row r="24" spans="2:5" ht="21" x14ac:dyDescent="0.4">
      <c r="B24" s="3" t="s">
        <v>6</v>
      </c>
      <c r="C24" s="2"/>
      <c r="E24" s="11">
        <f>E25*15%</f>
        <v>13800</v>
      </c>
    </row>
    <row r="25" spans="2:5" ht="21.6" thickBot="1" x14ac:dyDescent="0.45">
      <c r="B25" s="3" t="s">
        <v>7</v>
      </c>
      <c r="C25" s="2"/>
      <c r="E25" s="12">
        <f>E19+E20+E23+E21+E22</f>
        <v>92000</v>
      </c>
    </row>
    <row r="26" spans="2:5" ht="21.6" thickTop="1" x14ac:dyDescent="0.4">
      <c r="B26" s="3" t="s">
        <v>8</v>
      </c>
      <c r="C26" s="2"/>
      <c r="E26" s="14">
        <f>E25+E24</f>
        <v>105800</v>
      </c>
    </row>
    <row r="27" spans="2:5" ht="21" x14ac:dyDescent="0.4">
      <c r="B27" s="3" t="s">
        <v>9</v>
      </c>
      <c r="C27" s="2"/>
      <c r="E27" s="14">
        <f>E26/3500</f>
        <v>30.228571428571428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18358-D7B1-4924-9840-C79AA610A2A6}">
  <sheetPr>
    <tabColor rgb="FF00B050"/>
  </sheetPr>
  <dimension ref="A2:H93"/>
  <sheetViews>
    <sheetView topLeftCell="A53" workbookViewId="0">
      <selection activeCell="D67" sqref="D67"/>
    </sheetView>
  </sheetViews>
  <sheetFormatPr baseColWidth="10" defaultRowHeight="14.4" x14ac:dyDescent="0.3"/>
  <cols>
    <col min="1" max="1" width="40.33203125" bestFit="1" customWidth="1"/>
    <col min="2" max="2" width="16" bestFit="1" customWidth="1"/>
    <col min="4" max="4" width="13.88671875" bestFit="1" customWidth="1"/>
    <col min="7" max="7" width="35" bestFit="1" customWidth="1"/>
  </cols>
  <sheetData>
    <row r="2" spans="1:4" ht="21" x14ac:dyDescent="0.4">
      <c r="A2" s="1" t="s">
        <v>0</v>
      </c>
      <c r="B2" s="2">
        <v>55</v>
      </c>
      <c r="D2" s="3"/>
    </row>
    <row r="3" spans="1:4" ht="21" x14ac:dyDescent="0.4">
      <c r="A3" s="3"/>
      <c r="B3" s="2"/>
      <c r="D3" s="3" t="s">
        <v>1</v>
      </c>
    </row>
    <row r="4" spans="1:4" ht="21" x14ac:dyDescent="0.4">
      <c r="A4" s="4" t="s">
        <v>1</v>
      </c>
      <c r="B4" s="5">
        <v>1200000</v>
      </c>
      <c r="C4" s="6"/>
      <c r="D4" s="7">
        <f>B4/20</f>
        <v>60000</v>
      </c>
    </row>
    <row r="5" spans="1:4" ht="21" x14ac:dyDescent="0.4">
      <c r="A5" s="4" t="s">
        <v>2</v>
      </c>
      <c r="B5" s="5">
        <v>400000</v>
      </c>
      <c r="C5" s="6"/>
      <c r="D5" s="7">
        <f>B5/20</f>
        <v>20000</v>
      </c>
    </row>
    <row r="6" spans="1:4" ht="21" x14ac:dyDescent="0.4">
      <c r="A6" s="8"/>
      <c r="B6" s="5"/>
      <c r="C6" s="6"/>
      <c r="D6" s="9"/>
    </row>
    <row r="7" spans="1:4" ht="21" x14ac:dyDescent="0.4">
      <c r="A7" s="4" t="s">
        <v>3</v>
      </c>
      <c r="B7" s="10">
        <v>15000</v>
      </c>
      <c r="C7" s="6"/>
      <c r="D7" s="7">
        <f>B7</f>
        <v>15000</v>
      </c>
    </row>
    <row r="8" spans="1:4" ht="21" x14ac:dyDescent="0.4">
      <c r="A8" s="4" t="s">
        <v>4</v>
      </c>
      <c r="B8" s="5">
        <v>50000</v>
      </c>
      <c r="C8" s="6"/>
      <c r="D8" s="7">
        <f>B8</f>
        <v>50000</v>
      </c>
    </row>
    <row r="9" spans="1:4" ht="21" x14ac:dyDescent="0.4">
      <c r="A9" s="4" t="s">
        <v>5</v>
      </c>
      <c r="B9" s="5">
        <v>30000</v>
      </c>
      <c r="C9" s="6"/>
      <c r="D9" s="7">
        <f>B9</f>
        <v>30000</v>
      </c>
    </row>
    <row r="10" spans="1:4" ht="21" x14ac:dyDescent="0.4">
      <c r="A10" s="3" t="s">
        <v>6</v>
      </c>
      <c r="B10" s="2"/>
      <c r="D10" s="11">
        <f>D11*5%</f>
        <v>8750</v>
      </c>
    </row>
    <row r="11" spans="1:4" ht="21.6" thickBot="1" x14ac:dyDescent="0.45">
      <c r="A11" s="3" t="s">
        <v>7</v>
      </c>
      <c r="B11" s="2"/>
      <c r="D11" s="12">
        <f>D4+D5+D7+D8+D9</f>
        <v>175000</v>
      </c>
    </row>
    <row r="12" spans="1:4" ht="21.6" thickTop="1" x14ac:dyDescent="0.4">
      <c r="A12" s="3" t="s">
        <v>8</v>
      </c>
      <c r="B12" s="2"/>
      <c r="D12" s="14">
        <f>D11+D10</f>
        <v>183750</v>
      </c>
    </row>
    <row r="13" spans="1:4" ht="21" x14ac:dyDescent="0.4">
      <c r="A13" s="3" t="s">
        <v>9</v>
      </c>
      <c r="B13" s="2"/>
      <c r="D13" s="14">
        <f>D12/3500</f>
        <v>52.5</v>
      </c>
    </row>
    <row r="14" spans="1:4" ht="21" x14ac:dyDescent="0.4">
      <c r="A14" s="3"/>
      <c r="B14" s="2"/>
      <c r="D14" s="3"/>
    </row>
    <row r="16" spans="1:4" ht="21" x14ac:dyDescent="0.4">
      <c r="A16" s="15" t="s">
        <v>10</v>
      </c>
      <c r="B16" s="2">
        <v>30</v>
      </c>
      <c r="C16">
        <v>0</v>
      </c>
      <c r="D16" s="2"/>
    </row>
    <row r="17" spans="1:4" ht="21" x14ac:dyDescent="0.4">
      <c r="A17" s="3"/>
      <c r="B17" s="2"/>
      <c r="D17" s="3" t="s">
        <v>1</v>
      </c>
    </row>
    <row r="18" spans="1:4" ht="21" x14ac:dyDescent="0.4">
      <c r="A18" s="4" t="s">
        <v>1</v>
      </c>
      <c r="B18" s="5">
        <v>1300000</v>
      </c>
      <c r="D18" s="5">
        <f>B18/20</f>
        <v>65000</v>
      </c>
    </row>
    <row r="19" spans="1:4" ht="21" x14ac:dyDescent="0.4">
      <c r="A19" s="4" t="s">
        <v>5</v>
      </c>
      <c r="B19" s="5">
        <v>10000</v>
      </c>
      <c r="D19" s="5">
        <f>B19</f>
        <v>10000</v>
      </c>
    </row>
    <row r="20" spans="1:4" ht="21" x14ac:dyDescent="0.4">
      <c r="A20" s="4" t="s">
        <v>2</v>
      </c>
      <c r="B20" s="5">
        <v>200000</v>
      </c>
      <c r="D20" s="5">
        <f>B20/20</f>
        <v>10000</v>
      </c>
    </row>
    <row r="21" spans="1:4" ht="21" x14ac:dyDescent="0.4">
      <c r="A21" s="3" t="s">
        <v>6</v>
      </c>
      <c r="B21" s="2"/>
      <c r="D21" s="11">
        <f>D22*10%</f>
        <v>8500</v>
      </c>
    </row>
    <row r="22" spans="1:4" ht="21.6" thickBot="1" x14ac:dyDescent="0.45">
      <c r="A22" s="3" t="s">
        <v>7</v>
      </c>
      <c r="B22" s="2"/>
      <c r="D22" s="12">
        <f>D18+D19+D20</f>
        <v>85000</v>
      </c>
    </row>
    <row r="23" spans="1:4" ht="21.6" thickTop="1" x14ac:dyDescent="0.4">
      <c r="A23" s="3" t="s">
        <v>8</v>
      </c>
      <c r="B23" s="2"/>
      <c r="D23" s="14">
        <f>D22+D21</f>
        <v>93500</v>
      </c>
    </row>
    <row r="24" spans="1:4" ht="21" x14ac:dyDescent="0.4">
      <c r="A24" s="3" t="s">
        <v>9</v>
      </c>
      <c r="B24" s="2"/>
      <c r="D24" s="17">
        <f>D23/3500</f>
        <v>26.714285714285715</v>
      </c>
    </row>
    <row r="31" spans="1:4" ht="21" x14ac:dyDescent="0.4">
      <c r="A31" s="1" t="s">
        <v>11</v>
      </c>
      <c r="B31" s="2">
        <v>65</v>
      </c>
      <c r="D31" s="2"/>
    </row>
    <row r="32" spans="1:4" ht="21" x14ac:dyDescent="0.4">
      <c r="A32" s="3"/>
      <c r="B32" s="2"/>
      <c r="D32" s="3" t="s">
        <v>1</v>
      </c>
    </row>
    <row r="33" spans="1:4" ht="21" x14ac:dyDescent="0.4">
      <c r="A33" s="4" t="s">
        <v>1</v>
      </c>
      <c r="B33" s="5">
        <v>1400000</v>
      </c>
      <c r="C33" s="6"/>
      <c r="D33" s="5">
        <f>B33/20</f>
        <v>70000</v>
      </c>
    </row>
    <row r="34" spans="1:4" ht="21" x14ac:dyDescent="0.4">
      <c r="A34" s="4" t="s">
        <v>39</v>
      </c>
      <c r="B34" s="5">
        <v>80000</v>
      </c>
      <c r="C34" s="6"/>
      <c r="D34" s="5">
        <f>B34</f>
        <v>80000</v>
      </c>
    </row>
    <row r="35" spans="1:4" ht="21" x14ac:dyDescent="0.4">
      <c r="A35" s="4" t="s">
        <v>2</v>
      </c>
      <c r="B35" s="5">
        <v>400000</v>
      </c>
      <c r="C35" s="6"/>
      <c r="D35" s="5">
        <f>B35/20</f>
        <v>20000</v>
      </c>
    </row>
    <row r="36" spans="1:4" ht="21" x14ac:dyDescent="0.4">
      <c r="A36" s="18" t="s">
        <v>12</v>
      </c>
      <c r="B36" s="5">
        <v>10000</v>
      </c>
      <c r="C36" s="6"/>
      <c r="D36" s="5">
        <f>B36</f>
        <v>10000</v>
      </c>
    </row>
    <row r="37" spans="1:4" ht="21" x14ac:dyDescent="0.4">
      <c r="A37" s="4" t="s">
        <v>5</v>
      </c>
      <c r="B37" s="5">
        <v>25000</v>
      </c>
      <c r="C37" s="6"/>
      <c r="D37" s="5">
        <f>B37</f>
        <v>25000</v>
      </c>
    </row>
    <row r="38" spans="1:4" ht="21" x14ac:dyDescent="0.4">
      <c r="A38" s="3" t="s">
        <v>6</v>
      </c>
      <c r="B38" s="2"/>
      <c r="D38" s="11">
        <f>D39*15%</f>
        <v>30750</v>
      </c>
    </row>
    <row r="39" spans="1:4" ht="21.6" thickBot="1" x14ac:dyDescent="0.45">
      <c r="A39" s="3" t="s">
        <v>7</v>
      </c>
      <c r="B39" s="2"/>
      <c r="D39" s="12">
        <f>D33+D35+D37+D36+D34</f>
        <v>205000</v>
      </c>
    </row>
    <row r="40" spans="1:4" ht="21.6" thickTop="1" x14ac:dyDescent="0.4">
      <c r="A40" s="3" t="s">
        <v>8</v>
      </c>
      <c r="B40" s="2"/>
      <c r="D40" s="14">
        <f>D39+D38</f>
        <v>235750</v>
      </c>
    </row>
    <row r="41" spans="1:4" ht="21" x14ac:dyDescent="0.4">
      <c r="A41" s="3" t="s">
        <v>9</v>
      </c>
      <c r="B41" s="2"/>
      <c r="D41" s="14">
        <f>D40/3500</f>
        <v>67.357142857142861</v>
      </c>
    </row>
    <row r="44" spans="1:4" ht="21" x14ac:dyDescent="0.4">
      <c r="A44" s="27" t="s">
        <v>17</v>
      </c>
      <c r="B44" s="24">
        <v>95</v>
      </c>
      <c r="C44" s="25"/>
      <c r="D44" s="23"/>
    </row>
    <row r="45" spans="1:4" ht="21" x14ac:dyDescent="0.4">
      <c r="A45" s="22"/>
      <c r="B45" s="20"/>
      <c r="C45" s="21"/>
      <c r="D45" s="22" t="s">
        <v>1</v>
      </c>
    </row>
    <row r="46" spans="1:4" ht="21" x14ac:dyDescent="0.4">
      <c r="A46" s="23" t="s">
        <v>1</v>
      </c>
      <c r="B46" s="24">
        <v>1700000</v>
      </c>
      <c r="C46" s="25"/>
      <c r="D46" s="24">
        <f>B46/20</f>
        <v>85000</v>
      </c>
    </row>
    <row r="47" spans="1:4" ht="21" x14ac:dyDescent="0.4">
      <c r="A47" s="23" t="s">
        <v>2</v>
      </c>
      <c r="B47" s="24">
        <v>450000</v>
      </c>
      <c r="C47" s="25"/>
      <c r="D47" s="24">
        <f>B47/20</f>
        <v>22500</v>
      </c>
    </row>
    <row r="48" spans="1:4" ht="21" x14ac:dyDescent="0.4">
      <c r="A48" s="23" t="s">
        <v>18</v>
      </c>
      <c r="B48" s="26">
        <v>130000</v>
      </c>
      <c r="C48" s="25"/>
      <c r="D48" s="24">
        <f>B48</f>
        <v>130000</v>
      </c>
    </row>
    <row r="49" spans="1:4" ht="21" x14ac:dyDescent="0.4">
      <c r="A49" s="23" t="s">
        <v>19</v>
      </c>
      <c r="B49" s="24">
        <v>30000</v>
      </c>
      <c r="C49" s="25"/>
      <c r="D49" s="24">
        <f>B49</f>
        <v>30000</v>
      </c>
    </row>
    <row r="50" spans="1:4" ht="21" x14ac:dyDescent="0.4">
      <c r="A50" s="23" t="s">
        <v>5</v>
      </c>
      <c r="B50" s="24">
        <v>10000</v>
      </c>
      <c r="C50" s="25"/>
      <c r="D50" s="24">
        <f>B50</f>
        <v>10000</v>
      </c>
    </row>
    <row r="51" spans="1:4" ht="21" x14ac:dyDescent="0.4">
      <c r="A51" s="22" t="s">
        <v>6</v>
      </c>
      <c r="B51" s="20"/>
      <c r="C51" s="21"/>
      <c r="D51" s="20">
        <f>D52*10%</f>
        <v>27750</v>
      </c>
    </row>
    <row r="52" spans="1:4" ht="21" x14ac:dyDescent="0.4">
      <c r="A52" s="22" t="s">
        <v>7</v>
      </c>
      <c r="B52" s="20"/>
      <c r="C52" s="21"/>
      <c r="D52" s="28">
        <f>D46+D47+D48+D49+D50</f>
        <v>277500</v>
      </c>
    </row>
    <row r="53" spans="1:4" ht="21" x14ac:dyDescent="0.4">
      <c r="A53" s="22" t="s">
        <v>8</v>
      </c>
      <c r="B53" s="20"/>
      <c r="C53" s="21"/>
      <c r="D53" s="29">
        <f>D52+D51</f>
        <v>305250</v>
      </c>
    </row>
    <row r="54" spans="1:4" ht="21" x14ac:dyDescent="0.4">
      <c r="A54" s="22" t="s">
        <v>9</v>
      </c>
      <c r="B54" s="20"/>
      <c r="C54" s="21"/>
      <c r="D54" s="29">
        <f>D53/3200</f>
        <v>95.390625</v>
      </c>
    </row>
    <row r="55" spans="1:4" x14ac:dyDescent="0.3">
      <c r="A55" s="21"/>
      <c r="B55" s="21"/>
      <c r="C55" s="21"/>
      <c r="D55" s="21"/>
    </row>
    <row r="56" spans="1:4" x14ac:dyDescent="0.3">
      <c r="A56" s="21"/>
      <c r="B56" s="21"/>
      <c r="C56" s="21"/>
      <c r="D56" s="21"/>
    </row>
    <row r="58" spans="1:4" ht="21" x14ac:dyDescent="0.4">
      <c r="A58" s="27" t="s">
        <v>20</v>
      </c>
      <c r="B58" s="24">
        <v>80</v>
      </c>
      <c r="C58" s="25"/>
      <c r="D58" s="23"/>
    </row>
    <row r="59" spans="1:4" ht="21" x14ac:dyDescent="0.4">
      <c r="A59" s="22"/>
      <c r="B59" s="20"/>
      <c r="C59" s="21"/>
      <c r="D59" s="22" t="s">
        <v>1</v>
      </c>
    </row>
    <row r="60" spans="1:4" ht="21" x14ac:dyDescent="0.4">
      <c r="A60" s="23" t="s">
        <v>1</v>
      </c>
      <c r="B60" s="24">
        <v>1400000</v>
      </c>
      <c r="C60" s="25"/>
      <c r="D60" s="24">
        <f>B60/20</f>
        <v>70000</v>
      </c>
    </row>
    <row r="61" spans="1:4" ht="21" x14ac:dyDescent="0.4">
      <c r="A61" s="23" t="s">
        <v>2</v>
      </c>
      <c r="B61" s="24">
        <v>350000</v>
      </c>
      <c r="C61" s="25"/>
      <c r="D61" s="24">
        <f>B61/20</f>
        <v>17500</v>
      </c>
    </row>
    <row r="62" spans="1:4" ht="21" x14ac:dyDescent="0.4">
      <c r="A62" s="23" t="s">
        <v>181</v>
      </c>
      <c r="B62" s="26">
        <v>50000</v>
      </c>
      <c r="C62" s="25"/>
      <c r="D62" s="24">
        <f>B62</f>
        <v>50000</v>
      </c>
    </row>
    <row r="63" spans="1:4" ht="21" x14ac:dyDescent="0.4">
      <c r="A63" s="23" t="s">
        <v>183</v>
      </c>
      <c r="B63" s="24">
        <v>80000</v>
      </c>
      <c r="C63" s="25"/>
      <c r="D63" s="24">
        <f>B63</f>
        <v>80000</v>
      </c>
    </row>
    <row r="64" spans="1:4" ht="21" x14ac:dyDescent="0.4">
      <c r="A64" s="37" t="s">
        <v>5</v>
      </c>
      <c r="B64" s="38">
        <v>10000</v>
      </c>
      <c r="C64" s="39"/>
      <c r="D64" s="38">
        <f>B64</f>
        <v>10000</v>
      </c>
    </row>
    <row r="65" spans="1:8" ht="21" x14ac:dyDescent="0.4">
      <c r="A65" s="22" t="s">
        <v>6</v>
      </c>
      <c r="B65" s="20"/>
      <c r="C65" s="21"/>
      <c r="D65" s="20">
        <f>D66*10%</f>
        <v>22750</v>
      </c>
    </row>
    <row r="66" spans="1:8" ht="23.4" x14ac:dyDescent="0.45">
      <c r="A66" s="22" t="s">
        <v>7</v>
      </c>
      <c r="B66" s="20"/>
      <c r="C66" s="21"/>
      <c r="D66" s="28">
        <f>D60+D61+D62+D63+D64</f>
        <v>227500</v>
      </c>
      <c r="G66" s="208" t="s">
        <v>40</v>
      </c>
      <c r="H66" s="208"/>
    </row>
    <row r="67" spans="1:8" ht="21" x14ac:dyDescent="0.4">
      <c r="A67" s="22" t="s">
        <v>8</v>
      </c>
      <c r="B67" s="20"/>
      <c r="C67" s="21"/>
      <c r="D67" s="29">
        <f>D66+D65</f>
        <v>250250</v>
      </c>
      <c r="G67" s="18" t="s">
        <v>0</v>
      </c>
      <c r="H67" s="5">
        <v>55</v>
      </c>
    </row>
    <row r="68" spans="1:8" ht="21" x14ac:dyDescent="0.4">
      <c r="A68" s="22" t="s">
        <v>9</v>
      </c>
      <c r="B68" s="20"/>
      <c r="C68" s="21"/>
      <c r="D68" s="29">
        <f>D67/3200</f>
        <v>78.203125</v>
      </c>
      <c r="G68" s="18" t="s">
        <v>10</v>
      </c>
      <c r="H68" s="5">
        <v>30</v>
      </c>
    </row>
    <row r="69" spans="1:8" ht="21" x14ac:dyDescent="0.4">
      <c r="G69" s="18" t="s">
        <v>11</v>
      </c>
      <c r="H69" s="5">
        <v>65</v>
      </c>
    </row>
    <row r="70" spans="1:8" ht="21" x14ac:dyDescent="0.4">
      <c r="G70" s="40" t="s">
        <v>48</v>
      </c>
      <c r="H70" s="24">
        <v>75</v>
      </c>
    </row>
    <row r="71" spans="1:8" ht="21" x14ac:dyDescent="0.4">
      <c r="G71" s="40" t="s">
        <v>20</v>
      </c>
      <c r="H71" s="24">
        <v>80</v>
      </c>
    </row>
    <row r="72" spans="1:8" ht="21" x14ac:dyDescent="0.4">
      <c r="A72" s="1" t="s">
        <v>21</v>
      </c>
      <c r="B72" s="2">
        <v>25</v>
      </c>
      <c r="D72" s="2"/>
      <c r="G72" s="18" t="s">
        <v>21</v>
      </c>
      <c r="H72" s="5">
        <v>25</v>
      </c>
    </row>
    <row r="73" spans="1:8" ht="21" x14ac:dyDescent="0.4">
      <c r="A73" s="3"/>
      <c r="B73" s="2"/>
      <c r="D73" s="3" t="s">
        <v>1</v>
      </c>
      <c r="G73" s="18" t="s">
        <v>50</v>
      </c>
      <c r="H73" s="5">
        <v>75</v>
      </c>
    </row>
    <row r="74" spans="1:8" ht="21" x14ac:dyDescent="0.4">
      <c r="A74" s="4" t="s">
        <v>1</v>
      </c>
      <c r="B74" s="5">
        <v>1400000</v>
      </c>
      <c r="C74" s="6"/>
      <c r="D74" s="5">
        <f>B74/20</f>
        <v>70000</v>
      </c>
      <c r="H74" s="19">
        <f>SUM(H67,H68,H69,H70,H71,H72,H73)</f>
        <v>405</v>
      </c>
    </row>
    <row r="75" spans="1:8" ht="21" x14ac:dyDescent="0.4">
      <c r="A75" s="4" t="s">
        <v>2</v>
      </c>
      <c r="B75" s="5">
        <v>200000</v>
      </c>
      <c r="C75" s="6"/>
      <c r="D75" s="5">
        <f>B75/20</f>
        <v>10000</v>
      </c>
    </row>
    <row r="76" spans="1:8" ht="21" x14ac:dyDescent="0.4">
      <c r="A76" s="4" t="s">
        <v>5</v>
      </c>
      <c r="B76" s="5">
        <v>10000</v>
      </c>
      <c r="C76" s="6"/>
      <c r="D76" s="5">
        <f>B76</f>
        <v>10000</v>
      </c>
    </row>
    <row r="77" spans="1:8" ht="21" x14ac:dyDescent="0.4">
      <c r="A77" s="3" t="s">
        <v>6</v>
      </c>
      <c r="B77" s="2"/>
      <c r="D77" s="11">
        <f>D78*15%</f>
        <v>13500</v>
      </c>
    </row>
    <row r="78" spans="1:8" ht="21.6" thickBot="1" x14ac:dyDescent="0.45">
      <c r="A78" s="3" t="s">
        <v>7</v>
      </c>
      <c r="B78" s="2"/>
      <c r="D78" s="12">
        <f>D74+D75+D76</f>
        <v>90000</v>
      </c>
    </row>
    <row r="79" spans="1:8" ht="21.6" thickTop="1" x14ac:dyDescent="0.4">
      <c r="A79" s="3" t="s">
        <v>8</v>
      </c>
      <c r="B79" s="2"/>
      <c r="D79" s="14">
        <f>D78+D77</f>
        <v>103500</v>
      </c>
    </row>
    <row r="80" spans="1:8" ht="21" x14ac:dyDescent="0.4">
      <c r="A80" s="3" t="s">
        <v>9</v>
      </c>
      <c r="B80" s="2"/>
      <c r="D80" s="14">
        <f>D79/3200</f>
        <v>32.34375</v>
      </c>
    </row>
    <row r="83" spans="1:4" ht="21" x14ac:dyDescent="0.4">
      <c r="A83" s="27" t="s">
        <v>48</v>
      </c>
      <c r="B83" s="24">
        <v>80</v>
      </c>
      <c r="C83" s="25"/>
      <c r="D83" s="23"/>
    </row>
    <row r="84" spans="1:4" ht="21" x14ac:dyDescent="0.4">
      <c r="A84" s="22"/>
      <c r="B84" s="20"/>
      <c r="C84" s="21"/>
      <c r="D84" s="22" t="s">
        <v>1</v>
      </c>
    </row>
    <row r="85" spans="1:4" ht="21" x14ac:dyDescent="0.4">
      <c r="A85" s="23" t="s">
        <v>1</v>
      </c>
      <c r="B85" s="24">
        <v>1000000</v>
      </c>
      <c r="C85" s="25"/>
      <c r="D85" s="24">
        <f>B85/20</f>
        <v>50000</v>
      </c>
    </row>
    <row r="86" spans="1:4" ht="21" x14ac:dyDescent="0.4">
      <c r="A86" s="23" t="s">
        <v>2</v>
      </c>
      <c r="B86" s="24">
        <v>300000</v>
      </c>
      <c r="C86" s="25"/>
      <c r="D86" s="24">
        <f>B86/20</f>
        <v>15000</v>
      </c>
    </row>
    <row r="87" spans="1:4" ht="21" x14ac:dyDescent="0.4">
      <c r="A87" s="23" t="s">
        <v>49</v>
      </c>
      <c r="B87" s="26">
        <v>60000</v>
      </c>
      <c r="C87" s="25"/>
      <c r="D87" s="24">
        <f>B87</f>
        <v>60000</v>
      </c>
    </row>
    <row r="88" spans="1:4" ht="21" x14ac:dyDescent="0.4">
      <c r="A88" s="23" t="s">
        <v>4</v>
      </c>
      <c r="B88" s="24">
        <v>80000</v>
      </c>
      <c r="C88" s="25"/>
      <c r="D88" s="24">
        <f>B88</f>
        <v>80000</v>
      </c>
    </row>
    <row r="89" spans="1:4" ht="21" x14ac:dyDescent="0.4">
      <c r="A89" s="37" t="s">
        <v>5</v>
      </c>
      <c r="B89" s="38">
        <v>10000</v>
      </c>
      <c r="C89" s="39"/>
      <c r="D89" s="38">
        <f>B89</f>
        <v>10000</v>
      </c>
    </row>
    <row r="90" spans="1:4" ht="21" x14ac:dyDescent="0.4">
      <c r="A90" s="22" t="s">
        <v>6</v>
      </c>
      <c r="B90" s="20"/>
      <c r="C90" s="21"/>
      <c r="D90" s="20">
        <f>D91*5%</f>
        <v>10750</v>
      </c>
    </row>
    <row r="91" spans="1:4" ht="21" x14ac:dyDescent="0.4">
      <c r="A91" s="22" t="s">
        <v>7</v>
      </c>
      <c r="B91" s="20"/>
      <c r="C91" s="21"/>
      <c r="D91" s="28">
        <f>D85+D86+D87+D88+D89</f>
        <v>215000</v>
      </c>
    </row>
    <row r="92" spans="1:4" ht="21" x14ac:dyDescent="0.4">
      <c r="A92" s="22" t="s">
        <v>8</v>
      </c>
      <c r="B92" s="20"/>
      <c r="C92" s="21"/>
      <c r="D92" s="29">
        <f>D91+D90</f>
        <v>225750</v>
      </c>
    </row>
    <row r="93" spans="1:4" ht="21" x14ac:dyDescent="0.4">
      <c r="A93" s="22" t="s">
        <v>9</v>
      </c>
      <c r="B93" s="20"/>
      <c r="C93" s="21"/>
      <c r="D93" s="29">
        <f>D92/3200</f>
        <v>70.546875</v>
      </c>
    </row>
  </sheetData>
  <mergeCells count="1">
    <mergeCell ref="G66:H6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F5047-F10E-4AB0-8E31-96E37A3E4449}">
  <sheetPr>
    <tabColor rgb="FFFF0000"/>
  </sheetPr>
  <dimension ref="B2:O93"/>
  <sheetViews>
    <sheetView workbookViewId="0">
      <selection sqref="A1:XFD1048576"/>
    </sheetView>
  </sheetViews>
  <sheetFormatPr baseColWidth="10" defaultRowHeight="14.4" x14ac:dyDescent="0.3"/>
  <cols>
    <col min="2" max="2" width="36.44140625" bestFit="1" customWidth="1"/>
    <col min="3" max="3" width="16" bestFit="1" customWidth="1"/>
    <col min="5" max="5" width="13.88671875" bestFit="1" customWidth="1"/>
    <col min="7" max="7" width="36.44140625" bestFit="1" customWidth="1"/>
    <col min="8" max="8" width="13.6640625" bestFit="1" customWidth="1"/>
    <col min="10" max="10" width="33" bestFit="1" customWidth="1"/>
    <col min="12" max="12" width="36.44140625" bestFit="1" customWidth="1"/>
    <col min="13" max="13" width="13.6640625" bestFit="1" customWidth="1"/>
    <col min="15" max="15" width="13.88671875" bestFit="1" customWidth="1"/>
  </cols>
  <sheetData>
    <row r="2" spans="2:11" ht="15" thickBot="1" x14ac:dyDescent="0.35"/>
    <row r="3" spans="2:11" ht="24" thickBot="1" x14ac:dyDescent="0.5">
      <c r="B3" s="1" t="s">
        <v>0</v>
      </c>
      <c r="C3" s="2">
        <v>55</v>
      </c>
      <c r="E3" s="3"/>
      <c r="G3" s="190" t="s">
        <v>25</v>
      </c>
      <c r="H3" s="191"/>
      <c r="J3" s="208" t="s">
        <v>40</v>
      </c>
      <c r="K3" s="208"/>
    </row>
    <row r="4" spans="2:11" ht="21" x14ac:dyDescent="0.4">
      <c r="B4" s="3"/>
      <c r="C4" s="2"/>
      <c r="E4" s="3" t="s">
        <v>1</v>
      </c>
      <c r="G4" s="34" t="s">
        <v>10</v>
      </c>
      <c r="H4" s="31">
        <v>30</v>
      </c>
      <c r="J4" s="18" t="s">
        <v>0</v>
      </c>
      <c r="K4" s="5">
        <v>55</v>
      </c>
    </row>
    <row r="5" spans="2:11" ht="21" x14ac:dyDescent="0.4">
      <c r="B5" s="4" t="s">
        <v>1</v>
      </c>
      <c r="C5" s="5">
        <v>1200000</v>
      </c>
      <c r="D5" s="6"/>
      <c r="E5" s="7">
        <f>C5/25</f>
        <v>48000</v>
      </c>
      <c r="G5" s="35" t="s">
        <v>31</v>
      </c>
      <c r="H5" s="10">
        <v>60</v>
      </c>
      <c r="J5" s="18" t="s">
        <v>10</v>
      </c>
      <c r="K5" s="5">
        <v>30</v>
      </c>
    </row>
    <row r="6" spans="2:11" ht="21" x14ac:dyDescent="0.4">
      <c r="B6" s="4" t="s">
        <v>2</v>
      </c>
      <c r="C6" s="5">
        <v>400000</v>
      </c>
      <c r="D6" s="6"/>
      <c r="E6" s="7">
        <f>C6/25</f>
        <v>16000</v>
      </c>
      <c r="G6" s="35" t="s">
        <v>11</v>
      </c>
      <c r="H6" s="10">
        <v>70</v>
      </c>
      <c r="J6" s="18" t="s">
        <v>11</v>
      </c>
      <c r="K6" s="5">
        <v>65</v>
      </c>
    </row>
    <row r="7" spans="2:11" ht="21.6" thickBot="1" x14ac:dyDescent="0.45">
      <c r="B7" s="8"/>
      <c r="C7" s="5"/>
      <c r="D7" s="6"/>
      <c r="E7" s="9"/>
      <c r="G7" s="32"/>
      <c r="H7" s="33"/>
      <c r="J7" s="40" t="s">
        <v>20</v>
      </c>
      <c r="K7" s="24">
        <v>80</v>
      </c>
    </row>
    <row r="8" spans="2:11" ht="21.6" thickBot="1" x14ac:dyDescent="0.45">
      <c r="B8" s="4" t="s">
        <v>3</v>
      </c>
      <c r="C8" s="10">
        <v>15000</v>
      </c>
      <c r="D8" s="6"/>
      <c r="E8" s="7">
        <f>C8</f>
        <v>15000</v>
      </c>
      <c r="G8" s="190" t="s">
        <v>24</v>
      </c>
      <c r="H8" s="191"/>
      <c r="J8" s="18" t="s">
        <v>21</v>
      </c>
      <c r="K8" s="5">
        <v>25</v>
      </c>
    </row>
    <row r="9" spans="2:11" ht="21" x14ac:dyDescent="0.4">
      <c r="B9" s="4" t="s">
        <v>4</v>
      </c>
      <c r="C9" s="5">
        <v>50000</v>
      </c>
      <c r="D9" s="6"/>
      <c r="E9" s="7">
        <f>C9</f>
        <v>50000</v>
      </c>
      <c r="G9" s="34" t="s">
        <v>10</v>
      </c>
      <c r="H9" s="31">
        <v>20</v>
      </c>
      <c r="J9" s="18"/>
      <c r="K9" s="5">
        <f>SUM(K4:K8)</f>
        <v>255</v>
      </c>
    </row>
    <row r="10" spans="2:11" ht="21" x14ac:dyDescent="0.4">
      <c r="B10" s="4" t="s">
        <v>5</v>
      </c>
      <c r="C10" s="5">
        <v>30000</v>
      </c>
      <c r="D10" s="6"/>
      <c r="E10" s="7">
        <f>C10</f>
        <v>30000</v>
      </c>
      <c r="G10" s="35" t="s">
        <v>16</v>
      </c>
      <c r="H10" s="10">
        <v>80</v>
      </c>
    </row>
    <row r="11" spans="2:11" ht="21" x14ac:dyDescent="0.4">
      <c r="B11" s="3" t="s">
        <v>6</v>
      </c>
      <c r="C11" s="2"/>
      <c r="E11" s="11">
        <f>E12*5%</f>
        <v>7950</v>
      </c>
      <c r="G11" s="36" t="s">
        <v>34</v>
      </c>
      <c r="H11" s="10">
        <v>170</v>
      </c>
    </row>
    <row r="12" spans="2:11" ht="21.6" thickBot="1" x14ac:dyDescent="0.45">
      <c r="B12" s="3" t="s">
        <v>7</v>
      </c>
      <c r="C12" s="2"/>
      <c r="E12" s="12">
        <f>E5+E6+E8+E9+E10</f>
        <v>159000</v>
      </c>
      <c r="G12" s="36" t="s">
        <v>35</v>
      </c>
      <c r="H12" s="10">
        <v>120</v>
      </c>
    </row>
    <row r="13" spans="2:11" ht="21.6" thickTop="1" x14ac:dyDescent="0.4">
      <c r="B13" s="3" t="s">
        <v>8</v>
      </c>
      <c r="C13" s="2"/>
      <c r="E13" s="14">
        <f>E12+E11</f>
        <v>166950</v>
      </c>
      <c r="G13" s="36" t="s">
        <v>36</v>
      </c>
      <c r="H13" s="10">
        <v>160</v>
      </c>
    </row>
    <row r="14" spans="2:11" ht="21" x14ac:dyDescent="0.4">
      <c r="B14" s="3" t="s">
        <v>9</v>
      </c>
      <c r="C14" s="2"/>
      <c r="E14" s="14">
        <f>E13/3200</f>
        <v>52.171875</v>
      </c>
      <c r="G14" s="18" t="s">
        <v>30</v>
      </c>
      <c r="H14" s="10">
        <v>60</v>
      </c>
    </row>
    <row r="15" spans="2:11" ht="21" x14ac:dyDescent="0.4">
      <c r="B15" s="3"/>
      <c r="C15" s="2"/>
      <c r="E15" s="3"/>
    </row>
    <row r="17" spans="2:5" ht="21" x14ac:dyDescent="0.4">
      <c r="B17" s="15" t="s">
        <v>37</v>
      </c>
      <c r="C17" s="16">
        <v>30</v>
      </c>
      <c r="D17">
        <v>0</v>
      </c>
      <c r="E17" s="2"/>
    </row>
    <row r="18" spans="2:5" ht="21" x14ac:dyDescent="0.4">
      <c r="B18" s="3"/>
      <c r="C18" s="2"/>
      <c r="E18" s="3" t="s">
        <v>1</v>
      </c>
    </row>
    <row r="19" spans="2:5" ht="21" x14ac:dyDescent="0.4">
      <c r="B19" s="4" t="s">
        <v>1</v>
      </c>
      <c r="C19" s="5">
        <v>1200000</v>
      </c>
      <c r="E19" s="5">
        <f>C19/25</f>
        <v>48000</v>
      </c>
    </row>
    <row r="20" spans="2:5" ht="21" x14ac:dyDescent="0.4">
      <c r="B20" s="4" t="s">
        <v>5</v>
      </c>
      <c r="C20" s="5">
        <v>10000</v>
      </c>
      <c r="E20" s="5">
        <f>C20</f>
        <v>10000</v>
      </c>
    </row>
    <row r="21" spans="2:5" ht="21" x14ac:dyDescent="0.4">
      <c r="B21" s="4" t="s">
        <v>2</v>
      </c>
      <c r="C21" s="5">
        <v>200000</v>
      </c>
      <c r="E21" s="5">
        <f>C21/25</f>
        <v>8000</v>
      </c>
    </row>
    <row r="22" spans="2:5" ht="21" x14ac:dyDescent="0.4">
      <c r="B22" s="3" t="s">
        <v>6</v>
      </c>
      <c r="C22" s="2"/>
      <c r="E22" s="11">
        <f>E23*10%</f>
        <v>6600</v>
      </c>
    </row>
    <row r="23" spans="2:5" ht="21.6" thickBot="1" x14ac:dyDescent="0.45">
      <c r="B23" s="3" t="s">
        <v>7</v>
      </c>
      <c r="C23" s="2"/>
      <c r="E23" s="12">
        <f>E19+E20+E21</f>
        <v>66000</v>
      </c>
    </row>
    <row r="24" spans="2:5" ht="21.6" thickTop="1" x14ac:dyDescent="0.4">
      <c r="B24" s="3" t="s">
        <v>8</v>
      </c>
      <c r="C24" s="2"/>
      <c r="E24" s="14">
        <f>E23+E22</f>
        <v>72600</v>
      </c>
    </row>
    <row r="25" spans="2:5" ht="21" x14ac:dyDescent="0.4">
      <c r="B25" s="3" t="s">
        <v>9</v>
      </c>
      <c r="C25" s="2"/>
      <c r="E25" s="17">
        <f>E24/3200</f>
        <v>22.6875</v>
      </c>
    </row>
    <row r="30" spans="2:5" ht="21" x14ac:dyDescent="0.4">
      <c r="B30" s="15" t="s">
        <v>38</v>
      </c>
      <c r="C30" s="16">
        <v>20</v>
      </c>
      <c r="E30" s="2"/>
    </row>
    <row r="31" spans="2:5" ht="21" x14ac:dyDescent="0.4">
      <c r="B31" s="3"/>
      <c r="C31" s="2"/>
      <c r="E31" s="3" t="s">
        <v>1</v>
      </c>
    </row>
    <row r="32" spans="2:5" ht="21" x14ac:dyDescent="0.4">
      <c r="B32" s="4" t="s">
        <v>1</v>
      </c>
      <c r="C32" s="5">
        <v>700000</v>
      </c>
      <c r="E32" s="5">
        <f>C32/25</f>
        <v>28000</v>
      </c>
    </row>
    <row r="33" spans="2:5" ht="21" x14ac:dyDescent="0.4">
      <c r="B33" s="4" t="s">
        <v>5</v>
      </c>
      <c r="C33" s="5">
        <v>10000</v>
      </c>
      <c r="E33" s="5">
        <f>C33</f>
        <v>10000</v>
      </c>
    </row>
    <row r="34" spans="2:5" ht="21" x14ac:dyDescent="0.4">
      <c r="B34" s="4" t="s">
        <v>2</v>
      </c>
      <c r="C34" s="5">
        <v>200000</v>
      </c>
      <c r="E34" s="5">
        <f>C34/25</f>
        <v>8000</v>
      </c>
    </row>
    <row r="35" spans="2:5" ht="21" x14ac:dyDescent="0.4">
      <c r="B35" s="3" t="s">
        <v>6</v>
      </c>
      <c r="C35" s="2"/>
      <c r="E35" s="11">
        <f>E36*10%</f>
        <v>4600</v>
      </c>
    </row>
    <row r="36" spans="2:5" ht="21.6" thickBot="1" x14ac:dyDescent="0.45">
      <c r="B36" s="3" t="s">
        <v>7</v>
      </c>
      <c r="C36" s="2"/>
      <c r="E36" s="12">
        <f>E32+E33+E34</f>
        <v>46000</v>
      </c>
    </row>
    <row r="37" spans="2:5" ht="21.6" thickTop="1" x14ac:dyDescent="0.4">
      <c r="B37" s="3" t="s">
        <v>8</v>
      </c>
      <c r="C37" s="2"/>
      <c r="E37" s="14">
        <f>E36+E35</f>
        <v>50600</v>
      </c>
    </row>
    <row r="38" spans="2:5" ht="21" x14ac:dyDescent="0.4">
      <c r="B38" s="3" t="s">
        <v>9</v>
      </c>
      <c r="C38" s="2"/>
      <c r="E38" s="17">
        <f>E37/3200</f>
        <v>15.8125</v>
      </c>
    </row>
    <row r="42" spans="2:5" ht="21" x14ac:dyDescent="0.4">
      <c r="B42" s="1" t="s">
        <v>11</v>
      </c>
      <c r="C42" s="2">
        <v>65</v>
      </c>
      <c r="E42" s="2"/>
    </row>
    <row r="43" spans="2:5" ht="21" x14ac:dyDescent="0.4">
      <c r="B43" s="3"/>
      <c r="C43" s="2"/>
      <c r="E43" s="3" t="s">
        <v>1</v>
      </c>
    </row>
    <row r="44" spans="2:5" ht="21" x14ac:dyDescent="0.4">
      <c r="B44" s="4" t="s">
        <v>1</v>
      </c>
      <c r="C44" s="5">
        <v>1600000</v>
      </c>
      <c r="D44" s="6"/>
      <c r="E44" s="5">
        <f>C44/25</f>
        <v>64000</v>
      </c>
    </row>
    <row r="45" spans="2:5" ht="21" x14ac:dyDescent="0.4">
      <c r="B45" s="4" t="s">
        <v>2</v>
      </c>
      <c r="C45" s="5">
        <v>500000</v>
      </c>
      <c r="D45" s="6"/>
      <c r="E45" s="5">
        <f>C45/25</f>
        <v>20000</v>
      </c>
    </row>
    <row r="46" spans="2:5" ht="21" x14ac:dyDescent="0.4">
      <c r="B46" s="18" t="s">
        <v>12</v>
      </c>
      <c r="C46" s="5">
        <v>15000</v>
      </c>
      <c r="D46" s="6"/>
      <c r="E46" s="5">
        <f>C46</f>
        <v>15000</v>
      </c>
    </row>
    <row r="47" spans="2:5" ht="21" x14ac:dyDescent="0.4">
      <c r="B47" s="4" t="s">
        <v>13</v>
      </c>
      <c r="C47" s="5">
        <v>0</v>
      </c>
      <c r="D47" s="6"/>
      <c r="E47" s="5">
        <f>C47</f>
        <v>0</v>
      </c>
    </row>
    <row r="48" spans="2:5" ht="21" x14ac:dyDescent="0.4">
      <c r="B48" s="4" t="s">
        <v>14</v>
      </c>
      <c r="C48" s="5">
        <v>80000</v>
      </c>
      <c r="D48" s="6"/>
      <c r="E48" s="5">
        <f>C48</f>
        <v>80000</v>
      </c>
    </row>
    <row r="49" spans="2:5" ht="21" x14ac:dyDescent="0.4">
      <c r="B49" s="4" t="s">
        <v>15</v>
      </c>
      <c r="C49" s="5">
        <v>0</v>
      </c>
      <c r="D49" s="6"/>
      <c r="E49" s="5">
        <f>C49</f>
        <v>0</v>
      </c>
    </row>
    <row r="50" spans="2:5" ht="21" x14ac:dyDescent="0.4">
      <c r="B50" s="4" t="s">
        <v>5</v>
      </c>
      <c r="C50" s="5">
        <v>20000</v>
      </c>
      <c r="D50" s="6"/>
      <c r="E50" s="5">
        <f>C50</f>
        <v>20000</v>
      </c>
    </row>
    <row r="51" spans="2:5" ht="21" x14ac:dyDescent="0.4">
      <c r="B51" s="3" t="s">
        <v>6</v>
      </c>
      <c r="C51" s="2"/>
      <c r="E51" s="11">
        <f>E52*15%</f>
        <v>29850</v>
      </c>
    </row>
    <row r="52" spans="2:5" ht="21.6" thickBot="1" x14ac:dyDescent="0.45">
      <c r="B52" s="3" t="s">
        <v>7</v>
      </c>
      <c r="C52" s="2"/>
      <c r="E52" s="12">
        <f>E44+E45+E48+E47+E49+E50+E46</f>
        <v>199000</v>
      </c>
    </row>
    <row r="53" spans="2:5" ht="21.6" thickTop="1" x14ac:dyDescent="0.4">
      <c r="B53" s="3" t="s">
        <v>8</v>
      </c>
      <c r="C53" s="2"/>
      <c r="E53" s="14">
        <f>E52+E51</f>
        <v>228850</v>
      </c>
    </row>
    <row r="54" spans="2:5" ht="21" x14ac:dyDescent="0.4">
      <c r="B54" s="3" t="s">
        <v>9</v>
      </c>
      <c r="C54" s="2"/>
      <c r="E54" s="14">
        <f>E53/3500</f>
        <v>65.385714285714286</v>
      </c>
    </row>
    <row r="56" spans="2:5" ht="21" x14ac:dyDescent="0.4">
      <c r="B56" s="1" t="s">
        <v>16</v>
      </c>
      <c r="C56" s="2">
        <v>90</v>
      </c>
      <c r="E56" s="2"/>
    </row>
    <row r="57" spans="2:5" ht="21" x14ac:dyDescent="0.4">
      <c r="B57" s="3"/>
      <c r="C57" s="2"/>
      <c r="E57" s="3" t="s">
        <v>1</v>
      </c>
    </row>
    <row r="58" spans="2:5" ht="21" x14ac:dyDescent="0.4">
      <c r="B58" s="4" t="s">
        <v>1</v>
      </c>
      <c r="C58" s="5">
        <v>600000</v>
      </c>
      <c r="D58" s="6"/>
      <c r="E58" s="5">
        <f>C58/25</f>
        <v>24000</v>
      </c>
    </row>
    <row r="59" spans="2:5" ht="21" x14ac:dyDescent="0.4">
      <c r="B59" s="4" t="s">
        <v>2</v>
      </c>
      <c r="C59" s="5">
        <v>400000</v>
      </c>
      <c r="D59" s="6"/>
      <c r="E59" s="5">
        <f>C59/25</f>
        <v>16000</v>
      </c>
    </row>
    <row r="60" spans="2:5" ht="21" x14ac:dyDescent="0.4">
      <c r="B60" s="18" t="s">
        <v>12</v>
      </c>
      <c r="C60" s="5"/>
      <c r="D60" s="6"/>
      <c r="E60" s="4"/>
    </row>
    <row r="61" spans="2:5" ht="21" x14ac:dyDescent="0.4">
      <c r="B61" s="4" t="s">
        <v>13</v>
      </c>
      <c r="C61" s="5">
        <f>40000</f>
        <v>40000</v>
      </c>
      <c r="D61" s="6"/>
      <c r="E61" s="5">
        <f>C61</f>
        <v>40000</v>
      </c>
    </row>
    <row r="62" spans="2:5" ht="21" x14ac:dyDescent="0.4">
      <c r="B62" s="4" t="s">
        <v>14</v>
      </c>
      <c r="C62" s="5">
        <v>60000</v>
      </c>
      <c r="D62" s="6"/>
      <c r="E62" s="5">
        <f>C62</f>
        <v>60000</v>
      </c>
    </row>
    <row r="63" spans="2:5" ht="21" x14ac:dyDescent="0.4">
      <c r="B63" s="4" t="s">
        <v>15</v>
      </c>
      <c r="C63" s="5">
        <v>18000</v>
      </c>
      <c r="D63" s="6"/>
      <c r="E63" s="5">
        <f>C63</f>
        <v>18000</v>
      </c>
    </row>
    <row r="64" spans="2:5" ht="21" x14ac:dyDescent="0.4">
      <c r="B64" s="4" t="s">
        <v>5</v>
      </c>
      <c r="C64" s="5">
        <v>30000</v>
      </c>
      <c r="D64" s="6"/>
      <c r="E64" s="5">
        <f>C64</f>
        <v>30000</v>
      </c>
    </row>
    <row r="65" spans="2:15" ht="21" x14ac:dyDescent="0.4">
      <c r="B65" s="3" t="s">
        <v>6</v>
      </c>
      <c r="C65" s="2"/>
      <c r="E65" s="11">
        <f>E66*5%</f>
        <v>9400</v>
      </c>
    </row>
    <row r="66" spans="2:15" ht="21.6" thickBot="1" x14ac:dyDescent="0.45">
      <c r="B66" s="3" t="s">
        <v>7</v>
      </c>
      <c r="C66" s="2"/>
      <c r="E66" s="12">
        <f>E58+E59+E62+E61+E63+E64</f>
        <v>188000</v>
      </c>
    </row>
    <row r="67" spans="2:15" ht="21.6" thickTop="1" x14ac:dyDescent="0.4">
      <c r="B67" s="3" t="s">
        <v>8</v>
      </c>
      <c r="C67" s="2"/>
      <c r="E67" s="14">
        <f>E66+E65</f>
        <v>197400</v>
      </c>
    </row>
    <row r="68" spans="2:15" ht="21" x14ac:dyDescent="0.4">
      <c r="B68" s="3" t="s">
        <v>9</v>
      </c>
      <c r="C68" s="2"/>
      <c r="E68" s="14">
        <f>E67/3200</f>
        <v>61.6875</v>
      </c>
    </row>
    <row r="70" spans="2:15" ht="21" x14ac:dyDescent="0.4">
      <c r="B70" s="1" t="s">
        <v>26</v>
      </c>
      <c r="C70" s="2">
        <v>140</v>
      </c>
      <c r="E70" s="2"/>
      <c r="G70" s="1" t="s">
        <v>26</v>
      </c>
      <c r="H70" s="2">
        <v>140</v>
      </c>
      <c r="J70" s="2"/>
      <c r="L70" s="1" t="s">
        <v>26</v>
      </c>
      <c r="M70" s="2">
        <v>140</v>
      </c>
      <c r="O70" s="2"/>
    </row>
    <row r="71" spans="2:15" ht="21" x14ac:dyDescent="0.4">
      <c r="B71" s="3"/>
      <c r="C71" s="2"/>
      <c r="E71" s="3" t="s">
        <v>1</v>
      </c>
      <c r="G71" s="3"/>
      <c r="H71" s="2"/>
      <c r="J71" s="3" t="s">
        <v>1</v>
      </c>
      <c r="L71" s="3"/>
      <c r="M71" s="2"/>
      <c r="O71" s="3" t="s">
        <v>1</v>
      </c>
    </row>
    <row r="72" spans="2:15" ht="21" x14ac:dyDescent="0.4">
      <c r="B72" s="4" t="s">
        <v>28</v>
      </c>
      <c r="C72" s="5">
        <v>500000</v>
      </c>
      <c r="D72" s="6"/>
      <c r="E72" s="5">
        <f>C72/25</f>
        <v>20000</v>
      </c>
      <c r="G72" s="4" t="s">
        <v>28</v>
      </c>
      <c r="H72" s="5">
        <v>500000</v>
      </c>
      <c r="I72" s="6"/>
      <c r="J72" s="5">
        <f>H72/25</f>
        <v>20000</v>
      </c>
      <c r="L72" s="4" t="s">
        <v>28</v>
      </c>
      <c r="M72" s="5">
        <v>500000</v>
      </c>
      <c r="N72" s="6"/>
      <c r="O72" s="5">
        <f>M72/25</f>
        <v>20000</v>
      </c>
    </row>
    <row r="73" spans="2:15" ht="21" x14ac:dyDescent="0.4">
      <c r="B73" s="4" t="s">
        <v>2</v>
      </c>
      <c r="C73" s="5">
        <v>200000</v>
      </c>
      <c r="D73" s="6"/>
      <c r="E73" s="5">
        <f>C73/25</f>
        <v>8000</v>
      </c>
      <c r="G73" s="4" t="s">
        <v>2</v>
      </c>
      <c r="H73" s="5">
        <v>500000</v>
      </c>
      <c r="I73" s="6"/>
      <c r="J73" s="5">
        <f>H73/25</f>
        <v>20000</v>
      </c>
      <c r="L73" s="4" t="s">
        <v>2</v>
      </c>
      <c r="M73" s="5">
        <v>500000</v>
      </c>
      <c r="N73" s="6"/>
      <c r="O73" s="5">
        <f>M73/25</f>
        <v>20000</v>
      </c>
    </row>
    <row r="74" spans="2:15" ht="21" x14ac:dyDescent="0.4">
      <c r="B74" s="18" t="s">
        <v>27</v>
      </c>
      <c r="C74" s="5">
        <v>30000</v>
      </c>
      <c r="D74" s="6"/>
      <c r="E74" s="5">
        <f>C74</f>
        <v>30000</v>
      </c>
      <c r="G74" s="18" t="s">
        <v>27</v>
      </c>
      <c r="H74" s="5">
        <v>30000</v>
      </c>
      <c r="I74" s="6"/>
      <c r="J74" s="5">
        <f>H74</f>
        <v>30000</v>
      </c>
      <c r="L74" s="18" t="s">
        <v>27</v>
      </c>
      <c r="M74" s="5">
        <v>26000</v>
      </c>
      <c r="N74" s="6"/>
      <c r="O74" s="5">
        <f>M74</f>
        <v>26000</v>
      </c>
    </row>
    <row r="75" spans="2:15" ht="21" x14ac:dyDescent="0.4">
      <c r="B75" s="4" t="s">
        <v>29</v>
      </c>
      <c r="C75" s="5">
        <v>490000</v>
      </c>
      <c r="D75" s="6"/>
      <c r="E75" s="5">
        <f>C75</f>
        <v>490000</v>
      </c>
      <c r="G75" s="4" t="s">
        <v>33</v>
      </c>
      <c r="H75" s="5">
        <v>415000</v>
      </c>
      <c r="I75" s="6"/>
      <c r="J75" s="5">
        <f>H75</f>
        <v>415000</v>
      </c>
      <c r="L75" s="4" t="s">
        <v>32</v>
      </c>
      <c r="M75" s="5">
        <v>300000</v>
      </c>
      <c r="N75" s="6"/>
      <c r="O75" s="5">
        <f>M75</f>
        <v>300000</v>
      </c>
    </row>
    <row r="76" spans="2:15" ht="21" x14ac:dyDescent="0.4">
      <c r="B76" s="4" t="s">
        <v>5</v>
      </c>
      <c r="C76" s="5">
        <v>0</v>
      </c>
      <c r="D76" s="6"/>
      <c r="E76" s="5">
        <f>C76</f>
        <v>0</v>
      </c>
      <c r="G76" s="4" t="s">
        <v>5</v>
      </c>
      <c r="H76" s="5">
        <v>0</v>
      </c>
      <c r="I76" s="6"/>
      <c r="J76" s="5">
        <f>H76</f>
        <v>0</v>
      </c>
      <c r="L76" s="4" t="s">
        <v>5</v>
      </c>
      <c r="M76" s="5">
        <v>0</v>
      </c>
      <c r="N76" s="6"/>
      <c r="O76" s="5">
        <f>M76</f>
        <v>0</v>
      </c>
    </row>
    <row r="77" spans="2:15" ht="21" x14ac:dyDescent="0.4">
      <c r="B77" s="3" t="s">
        <v>6</v>
      </c>
      <c r="C77" s="2"/>
      <c r="E77" s="11">
        <f>E78*5%</f>
        <v>25900</v>
      </c>
      <c r="G77" s="3" t="s">
        <v>6</v>
      </c>
      <c r="H77" s="2"/>
      <c r="J77" s="11">
        <f>J78*5%</f>
        <v>22750</v>
      </c>
      <c r="L77" s="3" t="s">
        <v>6</v>
      </c>
      <c r="M77" s="2"/>
      <c r="O77" s="11">
        <f>O78*5%</f>
        <v>17000</v>
      </c>
    </row>
    <row r="78" spans="2:15" ht="21.6" thickBot="1" x14ac:dyDescent="0.45">
      <c r="B78" s="3" t="s">
        <v>7</v>
      </c>
      <c r="C78" s="2"/>
      <c r="E78" s="12">
        <f>E72+E73+E75+E76</f>
        <v>518000</v>
      </c>
      <c r="G78" s="3" t="s">
        <v>7</v>
      </c>
      <c r="H78" s="2"/>
      <c r="J78" s="12">
        <f>J72+J73+J75+J76</f>
        <v>455000</v>
      </c>
      <c r="L78" s="3" t="s">
        <v>7</v>
      </c>
      <c r="M78" s="2"/>
      <c r="O78" s="12">
        <f>O72+O73+O75+O76</f>
        <v>340000</v>
      </c>
    </row>
    <row r="79" spans="2:15" ht="21.6" thickTop="1" x14ac:dyDescent="0.4">
      <c r="B79" s="3" t="s">
        <v>8</v>
      </c>
      <c r="C79" s="2"/>
      <c r="E79" s="14">
        <f>E78+E77</f>
        <v>543900</v>
      </c>
      <c r="G79" s="3" t="s">
        <v>8</v>
      </c>
      <c r="H79" s="2"/>
      <c r="J79" s="14">
        <f>J78+J77</f>
        <v>477750</v>
      </c>
      <c r="L79" s="3" t="s">
        <v>8</v>
      </c>
      <c r="M79" s="2"/>
      <c r="O79" s="14">
        <f>O78+O77</f>
        <v>357000</v>
      </c>
    </row>
    <row r="80" spans="2:15" ht="21" x14ac:dyDescent="0.4">
      <c r="B80" s="3" t="s">
        <v>9</v>
      </c>
      <c r="C80" s="2"/>
      <c r="E80" s="14">
        <f>E79/3200</f>
        <v>169.96875</v>
      </c>
      <c r="G80" s="3" t="s">
        <v>9</v>
      </c>
      <c r="H80" s="2"/>
      <c r="J80" s="14">
        <f>J79/3200</f>
        <v>149.296875</v>
      </c>
      <c r="L80" s="3" t="s">
        <v>9</v>
      </c>
      <c r="M80" s="2"/>
      <c r="O80" s="14">
        <f>O79/3200</f>
        <v>111.5625</v>
      </c>
    </row>
    <row r="83" spans="2:5" ht="21" x14ac:dyDescent="0.4">
      <c r="B83" s="1" t="s">
        <v>30</v>
      </c>
      <c r="C83" s="2">
        <v>55</v>
      </c>
      <c r="E83" s="2"/>
    </row>
    <row r="84" spans="2:5" ht="21" x14ac:dyDescent="0.4">
      <c r="B84" s="3"/>
      <c r="C84" s="2"/>
      <c r="E84" s="3" t="s">
        <v>1</v>
      </c>
    </row>
    <row r="85" spans="2:5" ht="21" x14ac:dyDescent="0.4">
      <c r="B85" s="4" t="s">
        <v>28</v>
      </c>
      <c r="C85" s="5">
        <v>500000</v>
      </c>
      <c r="D85" s="6"/>
      <c r="E85" s="5">
        <f>C85/25</f>
        <v>20000</v>
      </c>
    </row>
    <row r="86" spans="2:5" ht="21" x14ac:dyDescent="0.4">
      <c r="B86" s="4" t="s">
        <v>2</v>
      </c>
      <c r="C86" s="5">
        <v>200000</v>
      </c>
      <c r="D86" s="6"/>
      <c r="E86" s="5">
        <f>C86/25</f>
        <v>8000</v>
      </c>
    </row>
    <row r="87" spans="2:5" ht="21" x14ac:dyDescent="0.4">
      <c r="B87" s="18" t="s">
        <v>27</v>
      </c>
      <c r="C87" s="5">
        <v>26000</v>
      </c>
      <c r="D87" s="6"/>
      <c r="E87" s="5">
        <f>C87</f>
        <v>26000</v>
      </c>
    </row>
    <row r="88" spans="2:5" ht="21" x14ac:dyDescent="0.4">
      <c r="B88" s="4" t="s">
        <v>51</v>
      </c>
      <c r="C88" s="5">
        <v>130000</v>
      </c>
      <c r="D88" s="6"/>
      <c r="E88" s="5">
        <f>C88</f>
        <v>130000</v>
      </c>
    </row>
    <row r="89" spans="2:5" ht="21" x14ac:dyDescent="0.4">
      <c r="B89" s="4" t="s">
        <v>5</v>
      </c>
      <c r="C89" s="5">
        <v>0</v>
      </c>
      <c r="D89" s="6"/>
      <c r="E89" s="5">
        <f>C89</f>
        <v>0</v>
      </c>
    </row>
    <row r="90" spans="2:5" ht="21" x14ac:dyDescent="0.4">
      <c r="B90" s="3" t="s">
        <v>6</v>
      </c>
      <c r="C90" s="2"/>
      <c r="E90" s="11">
        <f>E91*5%</f>
        <v>9200</v>
      </c>
    </row>
    <row r="91" spans="2:5" ht="21.6" thickBot="1" x14ac:dyDescent="0.45">
      <c r="B91" s="3" t="s">
        <v>7</v>
      </c>
      <c r="C91" s="2"/>
      <c r="E91" s="12">
        <f>E85+E86+E88+E89+E87</f>
        <v>184000</v>
      </c>
    </row>
    <row r="92" spans="2:5" ht="21.6" thickTop="1" x14ac:dyDescent="0.4">
      <c r="B92" s="3" t="s">
        <v>8</v>
      </c>
      <c r="C92" s="2"/>
      <c r="E92" s="14">
        <f>E91+E90</f>
        <v>193200</v>
      </c>
    </row>
    <row r="93" spans="2:5" ht="21" x14ac:dyDescent="0.4">
      <c r="B93" s="3" t="s">
        <v>9</v>
      </c>
      <c r="C93" s="2"/>
      <c r="E93" s="14">
        <f>E92/3200</f>
        <v>60.375</v>
      </c>
    </row>
  </sheetData>
  <mergeCells count="3">
    <mergeCell ref="G3:H3"/>
    <mergeCell ref="G8:H8"/>
    <mergeCell ref="J3:K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A2C38-5B7E-4A84-BC0A-96C1F994F1C5}">
  <sheetPr>
    <tabColor theme="6" tint="-0.249977111117893"/>
  </sheetPr>
  <dimension ref="B3:K109"/>
  <sheetViews>
    <sheetView topLeftCell="A7" zoomScale="91" zoomScaleNormal="91" workbookViewId="0">
      <selection activeCell="H72" sqref="H72"/>
    </sheetView>
  </sheetViews>
  <sheetFormatPr baseColWidth="10" defaultRowHeight="14.4" x14ac:dyDescent="0.3"/>
  <cols>
    <col min="2" max="2" width="36.21875" bestFit="1" customWidth="1"/>
    <col min="3" max="3" width="15.88671875" bestFit="1" customWidth="1"/>
    <col min="5" max="5" width="13.5546875" bestFit="1" customWidth="1"/>
    <col min="8" max="8" width="33.77734375" customWidth="1"/>
    <col min="9" max="9" width="18.109375" customWidth="1"/>
    <col min="11" max="11" width="13.5546875" bestFit="1" customWidth="1"/>
  </cols>
  <sheetData>
    <row r="3" spans="2:9" ht="15" thickBot="1" x14ac:dyDescent="0.35"/>
    <row r="4" spans="2:9" ht="52.2" thickBot="1" x14ac:dyDescent="0.35">
      <c r="H4" s="103" t="s">
        <v>107</v>
      </c>
      <c r="I4" s="104" t="s">
        <v>106</v>
      </c>
    </row>
    <row r="5" spans="2:9" ht="23.4" x14ac:dyDescent="0.45">
      <c r="B5" s="15" t="s">
        <v>38</v>
      </c>
      <c r="C5" s="16">
        <v>30</v>
      </c>
      <c r="E5" s="2"/>
      <c r="H5" s="101" t="s">
        <v>89</v>
      </c>
      <c r="I5" s="102">
        <v>75</v>
      </c>
    </row>
    <row r="6" spans="2:9" ht="23.4" x14ac:dyDescent="0.45">
      <c r="B6" s="3"/>
      <c r="C6" s="2"/>
      <c r="E6" s="3" t="s">
        <v>1</v>
      </c>
      <c r="H6" s="99" t="s">
        <v>93</v>
      </c>
      <c r="I6" s="100">
        <v>45</v>
      </c>
    </row>
    <row r="7" spans="2:9" ht="23.4" x14ac:dyDescent="0.45">
      <c r="B7" s="4" t="s">
        <v>1</v>
      </c>
      <c r="C7" s="5">
        <f>320000*2</f>
        <v>640000</v>
      </c>
      <c r="E7" s="5">
        <f>C7/25</f>
        <v>25600</v>
      </c>
      <c r="H7" s="99" t="s">
        <v>92</v>
      </c>
      <c r="I7" s="100">
        <v>60</v>
      </c>
    </row>
    <row r="8" spans="2:9" ht="23.4" x14ac:dyDescent="0.45">
      <c r="B8" s="4" t="s">
        <v>5</v>
      </c>
      <c r="C8" s="5">
        <v>10000</v>
      </c>
      <c r="E8" s="5">
        <f>C8</f>
        <v>10000</v>
      </c>
      <c r="H8" s="99" t="s">
        <v>91</v>
      </c>
      <c r="I8" s="100">
        <v>20</v>
      </c>
    </row>
    <row r="9" spans="2:9" ht="23.4" x14ac:dyDescent="0.45">
      <c r="B9" s="4" t="s">
        <v>2</v>
      </c>
      <c r="C9" s="5">
        <v>300000</v>
      </c>
      <c r="E9" s="5">
        <f>C9/25</f>
        <v>12000</v>
      </c>
      <c r="H9" s="99" t="s">
        <v>90</v>
      </c>
      <c r="I9" s="100">
        <v>20</v>
      </c>
    </row>
    <row r="10" spans="2:9" ht="23.4" x14ac:dyDescent="0.45">
      <c r="B10" s="3" t="s">
        <v>6</v>
      </c>
      <c r="C10" s="2"/>
      <c r="E10" s="11">
        <f>E11*10%</f>
        <v>4760</v>
      </c>
      <c r="H10" s="99" t="s">
        <v>104</v>
      </c>
      <c r="I10" s="100">
        <v>0</v>
      </c>
    </row>
    <row r="11" spans="2:9" ht="24" thickBot="1" x14ac:dyDescent="0.5">
      <c r="B11" s="3" t="s">
        <v>7</v>
      </c>
      <c r="C11" s="2"/>
      <c r="E11" s="12">
        <f>E7+E8+E9</f>
        <v>47600</v>
      </c>
      <c r="H11" s="145" t="s">
        <v>105</v>
      </c>
      <c r="I11" s="146">
        <v>18</v>
      </c>
    </row>
    <row r="12" spans="2:9" ht="24.6" thickTop="1" thickBot="1" x14ac:dyDescent="0.5">
      <c r="B12" s="3" t="s">
        <v>8</v>
      </c>
      <c r="C12" s="2"/>
      <c r="E12" s="14">
        <f>E11+E10</f>
        <v>52360</v>
      </c>
      <c r="H12" s="147" t="s">
        <v>114</v>
      </c>
      <c r="I12" s="148">
        <v>65</v>
      </c>
    </row>
    <row r="13" spans="2:9" ht="24" thickTop="1" x14ac:dyDescent="0.45">
      <c r="B13" s="3" t="s">
        <v>9</v>
      </c>
      <c r="C13" s="2"/>
      <c r="E13" s="17">
        <f>E12/3500</f>
        <v>14.96</v>
      </c>
      <c r="I13" s="105">
        <f>I5+I6+I7+I8+I9+I11+I12</f>
        <v>303</v>
      </c>
    </row>
    <row r="18" spans="2:11" ht="21" x14ac:dyDescent="0.4">
      <c r="B18" s="1" t="s">
        <v>16</v>
      </c>
      <c r="C18" s="2">
        <v>90</v>
      </c>
      <c r="E18" s="2"/>
      <c r="H18" s="1" t="s">
        <v>112</v>
      </c>
      <c r="I18" s="2">
        <v>90</v>
      </c>
      <c r="K18" s="2"/>
    </row>
    <row r="19" spans="2:11" ht="21" x14ac:dyDescent="0.4">
      <c r="B19" s="3"/>
      <c r="C19" s="2"/>
      <c r="E19" s="3" t="s">
        <v>1</v>
      </c>
      <c r="H19" s="3"/>
      <c r="I19" s="2"/>
      <c r="K19" s="3" t="s">
        <v>1</v>
      </c>
    </row>
    <row r="20" spans="2:11" ht="21" x14ac:dyDescent="0.4">
      <c r="B20" s="4" t="s">
        <v>1</v>
      </c>
      <c r="C20" s="5">
        <v>750000</v>
      </c>
      <c r="D20" s="6"/>
      <c r="E20" s="5">
        <f>C20/25</f>
        <v>30000</v>
      </c>
      <c r="H20" s="4" t="s">
        <v>1</v>
      </c>
      <c r="I20" s="5">
        <v>500000</v>
      </c>
      <c r="J20" s="6"/>
      <c r="K20" s="5">
        <f>I20/12</f>
        <v>41666.666666666664</v>
      </c>
    </row>
    <row r="21" spans="2:11" ht="21" x14ac:dyDescent="0.4">
      <c r="B21" s="4" t="s">
        <v>2</v>
      </c>
      <c r="C21" s="5">
        <v>500000</v>
      </c>
      <c r="D21" s="6"/>
      <c r="E21" s="5">
        <f>C21/25</f>
        <v>20000</v>
      </c>
      <c r="H21" s="4" t="s">
        <v>2</v>
      </c>
      <c r="I21" s="5">
        <v>400000</v>
      </c>
      <c r="J21" s="6"/>
      <c r="K21" s="5">
        <f>I21/12</f>
        <v>33333.333333333336</v>
      </c>
    </row>
    <row r="22" spans="2:11" ht="21" x14ac:dyDescent="0.4">
      <c r="B22" s="18" t="s">
        <v>94</v>
      </c>
      <c r="C22" s="5">
        <v>200000</v>
      </c>
      <c r="D22" s="6"/>
      <c r="E22" s="5">
        <f>C22/25</f>
        <v>8000</v>
      </c>
      <c r="H22" s="18" t="s">
        <v>94</v>
      </c>
      <c r="I22" s="5">
        <v>100000</v>
      </c>
      <c r="J22" s="6"/>
      <c r="K22" s="5">
        <f>I22/12</f>
        <v>8333.3333333333339</v>
      </c>
    </row>
    <row r="23" spans="2:11" ht="21" x14ac:dyDescent="0.4">
      <c r="B23" s="4" t="s">
        <v>13</v>
      </c>
      <c r="C23" s="5">
        <v>35000</v>
      </c>
      <c r="D23" s="6"/>
      <c r="E23" s="5">
        <f>C23</f>
        <v>35000</v>
      </c>
      <c r="H23" s="4" t="s">
        <v>13</v>
      </c>
      <c r="I23" s="5">
        <v>33000</v>
      </c>
      <c r="J23" s="6"/>
      <c r="K23" s="5">
        <f>I23</f>
        <v>33000</v>
      </c>
    </row>
    <row r="24" spans="2:11" ht="21" x14ac:dyDescent="0.4">
      <c r="B24" s="4" t="s">
        <v>14</v>
      </c>
      <c r="C24" s="5">
        <v>100000</v>
      </c>
      <c r="D24" s="6"/>
      <c r="E24" s="5">
        <f>C24</f>
        <v>100000</v>
      </c>
      <c r="H24" s="4" t="s">
        <v>14</v>
      </c>
      <c r="I24" s="5">
        <v>0</v>
      </c>
      <c r="J24" s="6"/>
      <c r="K24" s="5">
        <f>I24</f>
        <v>0</v>
      </c>
    </row>
    <row r="25" spans="2:11" ht="21" x14ac:dyDescent="0.4">
      <c r="B25" s="4" t="s">
        <v>15</v>
      </c>
      <c r="C25" s="5">
        <v>18000</v>
      </c>
      <c r="D25" s="6"/>
      <c r="E25" s="5">
        <f>C25</f>
        <v>18000</v>
      </c>
      <c r="H25" s="4" t="s">
        <v>15</v>
      </c>
      <c r="I25" s="5">
        <v>14000</v>
      </c>
      <c r="J25" s="6"/>
      <c r="K25" s="5">
        <f>I25</f>
        <v>14000</v>
      </c>
    </row>
    <row r="26" spans="2:11" ht="21" x14ac:dyDescent="0.4">
      <c r="B26" s="4" t="s">
        <v>95</v>
      </c>
      <c r="C26" s="5">
        <v>30000</v>
      </c>
      <c r="D26" s="6"/>
      <c r="E26" s="5">
        <f>C26</f>
        <v>30000</v>
      </c>
      <c r="H26" s="4" t="s">
        <v>111</v>
      </c>
      <c r="I26" s="5">
        <v>20000</v>
      </c>
      <c r="J26" s="6"/>
      <c r="K26" s="5">
        <f>I26</f>
        <v>20000</v>
      </c>
    </row>
    <row r="27" spans="2:11" ht="21" x14ac:dyDescent="0.4">
      <c r="B27" s="3" t="s">
        <v>6</v>
      </c>
      <c r="C27" s="2"/>
      <c r="E27" s="11">
        <f>E28*5%</f>
        <v>12050</v>
      </c>
      <c r="H27" s="3" t="s">
        <v>6</v>
      </c>
      <c r="I27" s="2"/>
      <c r="K27" s="11">
        <v>0</v>
      </c>
    </row>
    <row r="28" spans="2:11" ht="21.6" thickBot="1" x14ac:dyDescent="0.45">
      <c r="B28" s="3" t="s">
        <v>7</v>
      </c>
      <c r="C28" s="2"/>
      <c r="E28" s="12">
        <f>E20+E21+E24+E23+E25+E26+E22</f>
        <v>241000</v>
      </c>
      <c r="H28" s="3" t="s">
        <v>7</v>
      </c>
      <c r="I28" s="2"/>
      <c r="K28" s="12">
        <f>K20+K21+K24+K23+K25+K26+K22</f>
        <v>150333.33333333334</v>
      </c>
    </row>
    <row r="29" spans="2:11" ht="21.6" thickTop="1" x14ac:dyDescent="0.4">
      <c r="B29" s="3" t="s">
        <v>8</v>
      </c>
      <c r="C29" s="2"/>
      <c r="E29" s="14">
        <f>E28+E27</f>
        <v>253050</v>
      </c>
      <c r="H29" s="3" t="s">
        <v>8</v>
      </c>
      <c r="I29" s="2"/>
      <c r="K29" s="14">
        <f>K28+K27</f>
        <v>150333.33333333334</v>
      </c>
    </row>
    <row r="30" spans="2:11" ht="21" x14ac:dyDescent="0.4">
      <c r="B30" s="3" t="s">
        <v>9</v>
      </c>
      <c r="C30" s="2"/>
      <c r="E30" s="14">
        <f>E29/3500</f>
        <v>72.3</v>
      </c>
      <c r="H30" s="3" t="s">
        <v>9</v>
      </c>
      <c r="I30" s="2"/>
      <c r="K30" s="14">
        <f>K29/3500</f>
        <v>42.952380952380956</v>
      </c>
    </row>
    <row r="32" spans="2:11" ht="21" x14ac:dyDescent="0.4">
      <c r="B32" s="175" t="s">
        <v>96</v>
      </c>
      <c r="C32" s="176">
        <v>55</v>
      </c>
      <c r="D32" s="177"/>
      <c r="E32" s="176"/>
    </row>
    <row r="33" spans="2:5" ht="21" x14ac:dyDescent="0.4">
      <c r="B33" s="178"/>
      <c r="C33" s="176"/>
      <c r="D33" s="177"/>
      <c r="E33" s="178" t="s">
        <v>1</v>
      </c>
    </row>
    <row r="34" spans="2:5" ht="21" x14ac:dyDescent="0.4">
      <c r="B34" s="179" t="s">
        <v>53</v>
      </c>
      <c r="C34" s="180">
        <v>800000</v>
      </c>
      <c r="D34" s="181"/>
      <c r="E34" s="180">
        <f>C34/25</f>
        <v>32000</v>
      </c>
    </row>
    <row r="35" spans="2:5" ht="21" x14ac:dyDescent="0.4">
      <c r="B35" s="179" t="s">
        <v>2</v>
      </c>
      <c r="C35" s="180">
        <v>500000</v>
      </c>
      <c r="D35" s="181"/>
      <c r="E35" s="180">
        <f>C35/25</f>
        <v>20000</v>
      </c>
    </row>
    <row r="36" spans="2:5" ht="21" x14ac:dyDescent="0.4">
      <c r="B36" s="182" t="s">
        <v>97</v>
      </c>
      <c r="C36" s="180">
        <v>30000</v>
      </c>
      <c r="D36" s="181"/>
      <c r="E36" s="180">
        <f>C36</f>
        <v>30000</v>
      </c>
    </row>
    <row r="37" spans="2:5" ht="21" x14ac:dyDescent="0.4">
      <c r="B37" s="179" t="s">
        <v>4</v>
      </c>
      <c r="C37" s="180">
        <v>70000</v>
      </c>
      <c r="D37" s="181"/>
      <c r="E37" s="180">
        <f>C37</f>
        <v>70000</v>
      </c>
    </row>
    <row r="38" spans="2:5" ht="21" x14ac:dyDescent="0.4">
      <c r="B38" s="179" t="s">
        <v>5</v>
      </c>
      <c r="C38" s="180">
        <v>30000</v>
      </c>
      <c r="D38" s="181"/>
      <c r="E38" s="180">
        <f>C38</f>
        <v>30000</v>
      </c>
    </row>
    <row r="39" spans="2:5" ht="21" x14ac:dyDescent="0.4">
      <c r="B39" s="178" t="s">
        <v>6</v>
      </c>
      <c r="C39" s="176"/>
      <c r="D39" s="177"/>
      <c r="E39" s="183">
        <f>E40*10%</f>
        <v>18200</v>
      </c>
    </row>
    <row r="40" spans="2:5" ht="21.6" thickBot="1" x14ac:dyDescent="0.45">
      <c r="B40" s="178" t="s">
        <v>7</v>
      </c>
      <c r="C40" s="176"/>
      <c r="D40" s="177"/>
      <c r="E40" s="184">
        <f>E34+E35+E37+E38+E36</f>
        <v>182000</v>
      </c>
    </row>
    <row r="41" spans="2:5" ht="21.6" thickTop="1" x14ac:dyDescent="0.4">
      <c r="B41" s="178" t="s">
        <v>8</v>
      </c>
      <c r="C41" s="176"/>
      <c r="D41" s="177"/>
      <c r="E41" s="185">
        <f>E40+E39</f>
        <v>200200</v>
      </c>
    </row>
    <row r="42" spans="2:5" ht="21" x14ac:dyDescent="0.4">
      <c r="B42" s="178" t="s">
        <v>9</v>
      </c>
      <c r="C42" s="176"/>
      <c r="D42" s="177"/>
      <c r="E42" s="185">
        <f>E41/3500</f>
        <v>57.2</v>
      </c>
    </row>
    <row r="44" spans="2:5" x14ac:dyDescent="0.3">
      <c r="B44" s="177"/>
      <c r="C44" s="177"/>
      <c r="D44" s="177"/>
      <c r="E44" s="177"/>
    </row>
    <row r="45" spans="2:5" ht="21" x14ac:dyDescent="0.4">
      <c r="B45" s="175" t="s">
        <v>30</v>
      </c>
      <c r="C45" s="176">
        <v>55</v>
      </c>
      <c r="D45" s="177"/>
      <c r="E45" s="176"/>
    </row>
    <row r="46" spans="2:5" ht="21" x14ac:dyDescent="0.4">
      <c r="B46" s="178"/>
      <c r="C46" s="176"/>
      <c r="D46" s="177"/>
      <c r="E46" s="178" t="s">
        <v>1</v>
      </c>
    </row>
    <row r="47" spans="2:5" ht="21" x14ac:dyDescent="0.4">
      <c r="B47" s="179" t="s">
        <v>28</v>
      </c>
      <c r="C47" s="180">
        <v>500000</v>
      </c>
      <c r="D47" s="181"/>
      <c r="E47" s="180">
        <f>C47/25</f>
        <v>20000</v>
      </c>
    </row>
    <row r="48" spans="2:5" ht="21" x14ac:dyDescent="0.4">
      <c r="B48" s="179" t="s">
        <v>2</v>
      </c>
      <c r="C48" s="180">
        <v>200000</v>
      </c>
      <c r="D48" s="181"/>
      <c r="E48" s="180">
        <f>C48/25</f>
        <v>8000</v>
      </c>
    </row>
    <row r="49" spans="2:7" ht="21" x14ac:dyDescent="0.4">
      <c r="B49" s="182" t="s">
        <v>27</v>
      </c>
      <c r="C49" s="180">
        <v>20000</v>
      </c>
      <c r="D49" s="181"/>
      <c r="E49" s="180">
        <f>C49</f>
        <v>20000</v>
      </c>
    </row>
    <row r="50" spans="2:7" ht="21" x14ac:dyDescent="0.4">
      <c r="B50" s="179" t="s">
        <v>98</v>
      </c>
      <c r="C50" s="180">
        <v>150000</v>
      </c>
      <c r="D50" s="181"/>
      <c r="E50" s="180">
        <f>C50</f>
        <v>150000</v>
      </c>
    </row>
    <row r="51" spans="2:7" ht="21" x14ac:dyDescent="0.4">
      <c r="B51" s="179" t="s">
        <v>5</v>
      </c>
      <c r="C51" s="180">
        <v>0</v>
      </c>
      <c r="D51" s="181"/>
      <c r="E51" s="180">
        <f>C51</f>
        <v>0</v>
      </c>
    </row>
    <row r="52" spans="2:7" ht="21" x14ac:dyDescent="0.4">
      <c r="B52" s="178" t="s">
        <v>6</v>
      </c>
      <c r="C52" s="176"/>
      <c r="D52" s="177"/>
      <c r="E52" s="183">
        <f>E53*10%</f>
        <v>19800</v>
      </c>
    </row>
    <row r="53" spans="2:7" ht="21.6" thickBot="1" x14ac:dyDescent="0.45">
      <c r="B53" s="178" t="s">
        <v>7</v>
      </c>
      <c r="C53" s="176"/>
      <c r="D53" s="177"/>
      <c r="E53" s="184">
        <f>E47+E48+E50+E51+E49</f>
        <v>198000</v>
      </c>
    </row>
    <row r="54" spans="2:7" ht="21.6" thickTop="1" x14ac:dyDescent="0.4">
      <c r="B54" s="178" t="s">
        <v>8</v>
      </c>
      <c r="C54" s="176"/>
      <c r="D54" s="177"/>
      <c r="E54" s="185">
        <f>E53+E52</f>
        <v>217800</v>
      </c>
    </row>
    <row r="55" spans="2:7" ht="21" x14ac:dyDescent="0.4">
      <c r="B55" s="178" t="s">
        <v>9</v>
      </c>
      <c r="C55" s="176"/>
      <c r="D55" s="177"/>
      <c r="E55" s="185">
        <f>E54/3500</f>
        <v>62.228571428571428</v>
      </c>
    </row>
    <row r="56" spans="2:7" x14ac:dyDescent="0.3">
      <c r="B56" s="177"/>
      <c r="C56" s="177"/>
      <c r="D56" s="177"/>
      <c r="E56" s="177"/>
    </row>
    <row r="59" spans="2:7" ht="21" x14ac:dyDescent="0.4">
      <c r="B59" s="1" t="s">
        <v>99</v>
      </c>
      <c r="C59" s="2">
        <v>55</v>
      </c>
      <c r="E59" s="2"/>
      <c r="G59">
        <f>42*4000</f>
        <v>168000</v>
      </c>
    </row>
    <row r="60" spans="2:7" ht="21" x14ac:dyDescent="0.4">
      <c r="B60" s="3"/>
      <c r="C60" s="2"/>
      <c r="E60" s="3" t="s">
        <v>1</v>
      </c>
    </row>
    <row r="61" spans="2:7" ht="21" x14ac:dyDescent="0.4">
      <c r="B61" s="4" t="s">
        <v>100</v>
      </c>
      <c r="C61" s="5">
        <v>750000</v>
      </c>
      <c r="D61" s="6"/>
      <c r="E61" s="5">
        <f>C61/25</f>
        <v>30000</v>
      </c>
    </row>
    <row r="62" spans="2:7" ht="21" x14ac:dyDescent="0.4">
      <c r="B62" s="4" t="s">
        <v>2</v>
      </c>
      <c r="C62" s="5">
        <v>500000</v>
      </c>
      <c r="D62" s="6"/>
      <c r="E62" s="5">
        <f>C62/25</f>
        <v>20000</v>
      </c>
    </row>
    <row r="63" spans="2:7" ht="21" x14ac:dyDescent="0.4">
      <c r="B63" s="18" t="s">
        <v>101</v>
      </c>
      <c r="C63" s="5">
        <v>30000</v>
      </c>
      <c r="D63" s="6"/>
      <c r="E63" s="5">
        <f>C63</f>
        <v>30000</v>
      </c>
    </row>
    <row r="64" spans="2:7" ht="21" x14ac:dyDescent="0.4">
      <c r="B64" s="4" t="s">
        <v>102</v>
      </c>
      <c r="C64" s="5">
        <v>30000</v>
      </c>
      <c r="D64" s="6"/>
      <c r="E64" s="5">
        <f>C64</f>
        <v>30000</v>
      </c>
    </row>
    <row r="65" spans="2:5" ht="21" x14ac:dyDescent="0.4">
      <c r="B65" s="4" t="s">
        <v>5</v>
      </c>
      <c r="C65" s="5">
        <v>30000</v>
      </c>
      <c r="D65" s="6"/>
      <c r="E65" s="5">
        <f>C65</f>
        <v>30000</v>
      </c>
    </row>
    <row r="66" spans="2:5" ht="21" x14ac:dyDescent="0.4">
      <c r="B66" s="3" t="s">
        <v>6</v>
      </c>
      <c r="C66" s="2"/>
      <c r="E66" s="11">
        <f>E67*5%</f>
        <v>7000</v>
      </c>
    </row>
    <row r="67" spans="2:5" ht="21.6" thickBot="1" x14ac:dyDescent="0.45">
      <c r="B67" s="3" t="s">
        <v>7</v>
      </c>
      <c r="C67" s="2"/>
      <c r="E67" s="12">
        <f>E61+E62+E64+E65+E63</f>
        <v>140000</v>
      </c>
    </row>
    <row r="68" spans="2:5" ht="21.6" thickTop="1" x14ac:dyDescent="0.4">
      <c r="B68" s="3" t="s">
        <v>8</v>
      </c>
      <c r="C68" s="2"/>
      <c r="E68" s="14">
        <f>E67+E66</f>
        <v>147000</v>
      </c>
    </row>
    <row r="69" spans="2:5" ht="21" x14ac:dyDescent="0.4">
      <c r="B69" s="3" t="s">
        <v>9</v>
      </c>
      <c r="C69" s="2"/>
      <c r="E69" s="14">
        <f>E68/3500</f>
        <v>42</v>
      </c>
    </row>
    <row r="73" spans="2:5" ht="21" x14ac:dyDescent="0.4">
      <c r="B73" s="1" t="s">
        <v>108</v>
      </c>
      <c r="C73" s="2">
        <v>55</v>
      </c>
      <c r="E73" s="2"/>
    </row>
    <row r="74" spans="2:5" ht="21" x14ac:dyDescent="0.4">
      <c r="B74" s="3"/>
      <c r="C74" s="2"/>
      <c r="E74" s="3" t="s">
        <v>1</v>
      </c>
    </row>
    <row r="75" spans="2:5" ht="21" x14ac:dyDescent="0.4">
      <c r="B75" s="4" t="s">
        <v>100</v>
      </c>
      <c r="C75" s="5">
        <v>800000</v>
      </c>
      <c r="D75" s="6"/>
      <c r="E75" s="5">
        <f>C75/25</f>
        <v>32000</v>
      </c>
    </row>
    <row r="76" spans="2:5" ht="21" x14ac:dyDescent="0.4">
      <c r="B76" s="4" t="s">
        <v>2</v>
      </c>
      <c r="C76" s="5">
        <v>500000</v>
      </c>
      <c r="D76" s="6"/>
      <c r="E76" s="5">
        <f>C76/25</f>
        <v>20000</v>
      </c>
    </row>
    <row r="77" spans="2:5" ht="21" x14ac:dyDescent="0.4">
      <c r="B77" s="18" t="s">
        <v>101</v>
      </c>
      <c r="C77" s="5">
        <v>0</v>
      </c>
      <c r="D77" s="6"/>
      <c r="E77" s="5">
        <f>C77</f>
        <v>0</v>
      </c>
    </row>
    <row r="78" spans="2:5" ht="21" x14ac:dyDescent="0.4">
      <c r="B78" s="4" t="s">
        <v>102</v>
      </c>
      <c r="C78" s="5">
        <v>0</v>
      </c>
      <c r="D78" s="6"/>
      <c r="E78" s="5">
        <f>C78</f>
        <v>0</v>
      </c>
    </row>
    <row r="79" spans="2:5" ht="21" x14ac:dyDescent="0.4">
      <c r="B79" s="4" t="s">
        <v>5</v>
      </c>
      <c r="C79" s="5">
        <v>20000</v>
      </c>
      <c r="D79" s="6"/>
      <c r="E79" s="5">
        <f>C79</f>
        <v>20000</v>
      </c>
    </row>
    <row r="80" spans="2:5" ht="21" x14ac:dyDescent="0.4">
      <c r="B80" s="3" t="s">
        <v>6</v>
      </c>
      <c r="C80" s="2"/>
      <c r="E80" s="11">
        <f>E81*5%</f>
        <v>3600</v>
      </c>
    </row>
    <row r="81" spans="2:5" ht="21.6" thickBot="1" x14ac:dyDescent="0.45">
      <c r="B81" s="3" t="s">
        <v>7</v>
      </c>
      <c r="C81" s="2"/>
      <c r="E81" s="12">
        <f>E75+E76+E78+E79+E77</f>
        <v>72000</v>
      </c>
    </row>
    <row r="82" spans="2:5" ht="21.6" thickTop="1" x14ac:dyDescent="0.4">
      <c r="B82" s="3" t="s">
        <v>8</v>
      </c>
      <c r="C82" s="2"/>
      <c r="E82" s="14">
        <f>E81+E80</f>
        <v>75600</v>
      </c>
    </row>
    <row r="83" spans="2:5" ht="21" x14ac:dyDescent="0.4">
      <c r="B83" s="3" t="s">
        <v>9</v>
      </c>
      <c r="C83" s="2"/>
      <c r="E83" s="14">
        <f>E82/3500</f>
        <v>21.6</v>
      </c>
    </row>
    <row r="86" spans="2:5" ht="21" x14ac:dyDescent="0.4">
      <c r="B86" s="15" t="s">
        <v>103</v>
      </c>
      <c r="C86" s="16">
        <v>30</v>
      </c>
      <c r="E86" s="2"/>
    </row>
    <row r="87" spans="2:5" ht="21" x14ac:dyDescent="0.4">
      <c r="B87" s="3"/>
      <c r="C87" s="2"/>
      <c r="E87" s="3" t="s">
        <v>1</v>
      </c>
    </row>
    <row r="88" spans="2:5" ht="21" x14ac:dyDescent="0.4">
      <c r="B88" s="4" t="s">
        <v>1</v>
      </c>
      <c r="C88" s="5">
        <v>800000</v>
      </c>
      <c r="E88" s="5">
        <f>C88/25</f>
        <v>32000</v>
      </c>
    </row>
    <row r="89" spans="2:5" ht="21" x14ac:dyDescent="0.4">
      <c r="B89" s="4" t="s">
        <v>5</v>
      </c>
      <c r="C89" s="5">
        <v>10000</v>
      </c>
      <c r="E89" s="5">
        <f>C89</f>
        <v>10000</v>
      </c>
    </row>
    <row r="90" spans="2:5" ht="21" x14ac:dyDescent="0.4">
      <c r="B90" s="4" t="s">
        <v>2</v>
      </c>
      <c r="C90" s="5">
        <v>300000</v>
      </c>
      <c r="E90" s="5">
        <f>C90/25</f>
        <v>12000</v>
      </c>
    </row>
    <row r="91" spans="2:5" ht="21" x14ac:dyDescent="0.4">
      <c r="B91" s="3" t="s">
        <v>6</v>
      </c>
      <c r="C91" s="2"/>
      <c r="E91" s="11">
        <f>E92*10%</f>
        <v>5400</v>
      </c>
    </row>
    <row r="92" spans="2:5" ht="21.6" thickBot="1" x14ac:dyDescent="0.45">
      <c r="B92" s="3" t="s">
        <v>7</v>
      </c>
      <c r="C92" s="2"/>
      <c r="E92" s="12">
        <f>E88+E89+E90</f>
        <v>54000</v>
      </c>
    </row>
    <row r="93" spans="2:5" ht="21.6" thickTop="1" x14ac:dyDescent="0.4">
      <c r="B93" s="3" t="s">
        <v>8</v>
      </c>
      <c r="C93" s="2"/>
      <c r="E93" s="14">
        <f>E92+E91</f>
        <v>59400</v>
      </c>
    </row>
    <row r="94" spans="2:5" ht="21" x14ac:dyDescent="0.4">
      <c r="B94" s="3" t="s">
        <v>9</v>
      </c>
      <c r="C94" s="2"/>
      <c r="E94" s="17">
        <f>E93/3500</f>
        <v>16.971428571428572</v>
      </c>
    </row>
    <row r="97" spans="2:5" ht="21" x14ac:dyDescent="0.4">
      <c r="B97" s="1" t="s">
        <v>195</v>
      </c>
      <c r="C97" s="2">
        <v>90</v>
      </c>
      <c r="E97" s="2"/>
    </row>
    <row r="98" spans="2:5" ht="21" x14ac:dyDescent="0.4">
      <c r="B98" s="3"/>
      <c r="C98" s="2"/>
      <c r="E98" s="3" t="s">
        <v>1</v>
      </c>
    </row>
    <row r="99" spans="2:5" ht="21" x14ac:dyDescent="0.4">
      <c r="B99" s="4" t="s">
        <v>1</v>
      </c>
      <c r="C99" s="5">
        <v>1900000</v>
      </c>
      <c r="D99" s="6"/>
      <c r="E99" s="5">
        <f>C99/30</f>
        <v>63333.333333333336</v>
      </c>
    </row>
    <row r="100" spans="2:5" ht="21" x14ac:dyDescent="0.4">
      <c r="B100" s="4" t="s">
        <v>2</v>
      </c>
      <c r="C100" s="5">
        <v>500000</v>
      </c>
      <c r="D100" s="6"/>
      <c r="E100" s="5">
        <f>C100/25</f>
        <v>20000</v>
      </c>
    </row>
    <row r="101" spans="2:5" ht="21" x14ac:dyDescent="0.4">
      <c r="B101" s="18" t="s">
        <v>94</v>
      </c>
      <c r="C101" s="5">
        <v>200000</v>
      </c>
      <c r="D101" s="6"/>
      <c r="E101" s="5">
        <f>C101/25</f>
        <v>8000</v>
      </c>
    </row>
    <row r="102" spans="2:5" ht="21" x14ac:dyDescent="0.4">
      <c r="B102" s="4" t="s">
        <v>13</v>
      </c>
      <c r="C102" s="5"/>
      <c r="D102" s="6"/>
      <c r="E102" s="5">
        <f>C102</f>
        <v>0</v>
      </c>
    </row>
    <row r="103" spans="2:5" ht="21" x14ac:dyDescent="0.4">
      <c r="B103" s="4" t="s">
        <v>14</v>
      </c>
      <c r="C103" s="5">
        <v>100000</v>
      </c>
      <c r="D103" s="6"/>
      <c r="E103" s="5">
        <f>C103</f>
        <v>100000</v>
      </c>
    </row>
    <row r="104" spans="2:5" ht="21" x14ac:dyDescent="0.4">
      <c r="B104" s="4" t="s">
        <v>15</v>
      </c>
      <c r="C104" s="5"/>
      <c r="D104" s="6"/>
      <c r="E104" s="5">
        <f>C104</f>
        <v>0</v>
      </c>
    </row>
    <row r="105" spans="2:5" ht="21" x14ac:dyDescent="0.4">
      <c r="B105" s="4" t="s">
        <v>95</v>
      </c>
      <c r="C105" s="5">
        <v>30000</v>
      </c>
      <c r="D105" s="6"/>
      <c r="E105" s="5">
        <f>C105</f>
        <v>30000</v>
      </c>
    </row>
    <row r="106" spans="2:5" ht="21" x14ac:dyDescent="0.4">
      <c r="B106" s="3" t="s">
        <v>6</v>
      </c>
      <c r="C106" s="2"/>
      <c r="E106" s="11">
        <f>E107*5%</f>
        <v>11066.666666666668</v>
      </c>
    </row>
    <row r="107" spans="2:5" ht="21.6" thickBot="1" x14ac:dyDescent="0.45">
      <c r="B107" s="3" t="s">
        <v>7</v>
      </c>
      <c r="C107" s="2"/>
      <c r="E107" s="12">
        <f>E99+E100+E103+E102+E104+E105+E101</f>
        <v>221333.33333333334</v>
      </c>
    </row>
    <row r="108" spans="2:5" ht="21.6" thickTop="1" x14ac:dyDescent="0.4">
      <c r="B108" s="3" t="s">
        <v>8</v>
      </c>
      <c r="C108" s="2"/>
      <c r="E108" s="14">
        <f>E107+E106</f>
        <v>232400</v>
      </c>
    </row>
    <row r="109" spans="2:5" ht="21" x14ac:dyDescent="0.4">
      <c r="B109" s="3" t="s">
        <v>9</v>
      </c>
      <c r="C109" s="2"/>
      <c r="E109" s="14">
        <f>E108/3500</f>
        <v>66.400000000000006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5A245-A609-48A3-B85C-FCDAE7527A7E}">
  <sheetPr>
    <tabColor rgb="FFFFC000"/>
  </sheetPr>
  <dimension ref="B2:I193"/>
  <sheetViews>
    <sheetView topLeftCell="A52" workbookViewId="0">
      <selection activeCell="F69" sqref="F69"/>
    </sheetView>
  </sheetViews>
  <sheetFormatPr baseColWidth="10" defaultRowHeight="14.4" x14ac:dyDescent="0.3"/>
  <cols>
    <col min="2" max="2" width="39" customWidth="1"/>
    <col min="3" max="3" width="13.5546875" bestFit="1" customWidth="1"/>
    <col min="5" max="5" width="13.5546875" bestFit="1" customWidth="1"/>
    <col min="8" max="8" width="34.88671875" bestFit="1" customWidth="1"/>
  </cols>
  <sheetData>
    <row r="2" spans="2:9" ht="21" x14ac:dyDescent="0.4">
      <c r="B2" s="211" t="s">
        <v>118</v>
      </c>
      <c r="C2" s="211"/>
      <c r="D2" s="211"/>
      <c r="E2" s="211"/>
      <c r="F2">
        <f>F18+F32+F45+F57+F73+F87</f>
        <v>6</v>
      </c>
    </row>
    <row r="3" spans="2:9" ht="21" x14ac:dyDescent="0.4">
      <c r="B3" s="106"/>
      <c r="C3" s="106"/>
      <c r="D3" s="106"/>
      <c r="E3" s="106"/>
    </row>
    <row r="4" spans="2:9" ht="21" x14ac:dyDescent="0.4">
      <c r="B4" s="106"/>
      <c r="C4" s="106"/>
      <c r="D4" s="106"/>
      <c r="E4" s="106"/>
    </row>
    <row r="5" spans="2:9" ht="21" x14ac:dyDescent="0.4">
      <c r="B5" s="15" t="s">
        <v>38</v>
      </c>
      <c r="C5" s="16">
        <v>30</v>
      </c>
      <c r="E5" s="2"/>
      <c r="H5" s="209" t="s">
        <v>118</v>
      </c>
      <c r="I5" s="209"/>
    </row>
    <row r="6" spans="2:9" ht="21" x14ac:dyDescent="0.4">
      <c r="B6" s="3"/>
      <c r="C6" s="2"/>
      <c r="E6" s="3" t="s">
        <v>1</v>
      </c>
      <c r="H6" s="18" t="s">
        <v>38</v>
      </c>
      <c r="I6" s="6"/>
    </row>
    <row r="7" spans="2:9" ht="21" x14ac:dyDescent="0.4">
      <c r="B7" s="4" t="s">
        <v>1</v>
      </c>
      <c r="C7" s="5">
        <f>320000*2</f>
        <v>640000</v>
      </c>
      <c r="E7" s="5">
        <f>C7/25</f>
        <v>25600</v>
      </c>
      <c r="H7" s="18" t="s">
        <v>16</v>
      </c>
      <c r="I7" s="6"/>
    </row>
    <row r="8" spans="2:9" ht="21" x14ac:dyDescent="0.4">
      <c r="B8" s="4" t="s">
        <v>5</v>
      </c>
      <c r="C8" s="5">
        <v>10000</v>
      </c>
      <c r="E8" s="5">
        <f>C8</f>
        <v>10000</v>
      </c>
      <c r="H8" s="18" t="s">
        <v>113</v>
      </c>
      <c r="I8" s="6"/>
    </row>
    <row r="9" spans="2:9" ht="21" x14ac:dyDescent="0.4">
      <c r="B9" s="4" t="s">
        <v>2</v>
      </c>
      <c r="C9" s="5">
        <v>300000</v>
      </c>
      <c r="E9" s="5">
        <f>C9/25</f>
        <v>12000</v>
      </c>
      <c r="H9" s="18" t="s">
        <v>30</v>
      </c>
      <c r="I9" s="6"/>
    </row>
    <row r="10" spans="2:9" ht="21" x14ac:dyDescent="0.4">
      <c r="B10" s="3" t="s">
        <v>6</v>
      </c>
      <c r="C10" s="2"/>
      <c r="E10" s="11">
        <f>E11*10%</f>
        <v>4760</v>
      </c>
      <c r="H10" s="209" t="s">
        <v>114</v>
      </c>
      <c r="I10" s="209"/>
    </row>
    <row r="11" spans="2:9" ht="21.6" thickBot="1" x14ac:dyDescent="0.45">
      <c r="B11" s="3" t="s">
        <v>7</v>
      </c>
      <c r="C11" s="2"/>
      <c r="E11" s="12">
        <f>E7+E8+E9</f>
        <v>47600</v>
      </c>
      <c r="H11" s="18" t="s">
        <v>119</v>
      </c>
      <c r="I11" s="6"/>
    </row>
    <row r="12" spans="2:9" ht="21.6" thickTop="1" x14ac:dyDescent="0.4">
      <c r="B12" s="3" t="s">
        <v>8</v>
      </c>
      <c r="C12" s="2"/>
      <c r="E12" s="14">
        <f>E11+E10</f>
        <v>52360</v>
      </c>
      <c r="H12" s="209" t="s">
        <v>116</v>
      </c>
      <c r="I12" s="209"/>
    </row>
    <row r="13" spans="2:9" ht="21" x14ac:dyDescent="0.4">
      <c r="B13" s="3" t="s">
        <v>9</v>
      </c>
      <c r="C13" s="2"/>
      <c r="E13" s="17">
        <f>E12/3500</f>
        <v>14.96</v>
      </c>
      <c r="H13" s="18" t="s">
        <v>115</v>
      </c>
      <c r="I13" s="6"/>
    </row>
    <row r="14" spans="2:9" ht="21" x14ac:dyDescent="0.4">
      <c r="H14" s="18" t="s">
        <v>16</v>
      </c>
      <c r="I14" s="5"/>
    </row>
    <row r="15" spans="2:9" ht="21" x14ac:dyDescent="0.4">
      <c r="I15" s="2">
        <f>I6+I7+I8+I9+I11+I13+I14</f>
        <v>0</v>
      </c>
    </row>
    <row r="17" spans="2:9" x14ac:dyDescent="0.3">
      <c r="H17" t="s">
        <v>123</v>
      </c>
    </row>
    <row r="18" spans="2:9" ht="21" x14ac:dyDescent="0.4">
      <c r="B18" s="1" t="s">
        <v>16</v>
      </c>
      <c r="C18" s="2">
        <v>90</v>
      </c>
      <c r="E18" s="2"/>
      <c r="F18">
        <v>1</v>
      </c>
      <c r="H18" t="s">
        <v>126</v>
      </c>
    </row>
    <row r="19" spans="2:9" ht="21" x14ac:dyDescent="0.4">
      <c r="B19" s="3"/>
      <c r="C19" s="2"/>
      <c r="E19" s="3" t="s">
        <v>1</v>
      </c>
      <c r="H19" t="s">
        <v>124</v>
      </c>
      <c r="I19" t="s">
        <v>125</v>
      </c>
    </row>
    <row r="20" spans="2:9" ht="21" x14ac:dyDescent="0.4">
      <c r="B20" s="4" t="s">
        <v>1</v>
      </c>
      <c r="C20" s="5">
        <v>750000</v>
      </c>
      <c r="D20" s="6"/>
      <c r="E20" s="5">
        <f>C20/25</f>
        <v>30000</v>
      </c>
      <c r="H20" t="s">
        <v>127</v>
      </c>
    </row>
    <row r="21" spans="2:9" ht="21" x14ac:dyDescent="0.4">
      <c r="B21" s="4" t="s">
        <v>2</v>
      </c>
      <c r="C21" s="5">
        <v>500000</v>
      </c>
      <c r="D21" s="6"/>
      <c r="E21" s="5">
        <f>C21/25</f>
        <v>20000</v>
      </c>
      <c r="H21" t="s">
        <v>128</v>
      </c>
    </row>
    <row r="22" spans="2:9" ht="21" x14ac:dyDescent="0.4">
      <c r="B22" s="18" t="s">
        <v>94</v>
      </c>
      <c r="C22" s="5">
        <v>200000</v>
      </c>
      <c r="D22" s="6"/>
      <c r="E22" s="5">
        <f>C22/25</f>
        <v>8000</v>
      </c>
      <c r="H22" t="s">
        <v>129</v>
      </c>
    </row>
    <row r="23" spans="2:9" ht="21" x14ac:dyDescent="0.4">
      <c r="B23" s="4" t="s">
        <v>13</v>
      </c>
      <c r="C23" s="5">
        <v>35000</v>
      </c>
      <c r="D23" s="6"/>
      <c r="E23" s="5">
        <f>C23</f>
        <v>35000</v>
      </c>
      <c r="H23" t="s">
        <v>130</v>
      </c>
    </row>
    <row r="24" spans="2:9" ht="21" x14ac:dyDescent="0.4">
      <c r="B24" s="4" t="s">
        <v>14</v>
      </c>
      <c r="C24" s="5">
        <v>100000</v>
      </c>
      <c r="D24" s="6"/>
      <c r="E24" s="5">
        <f>C24</f>
        <v>100000</v>
      </c>
      <c r="H24" t="s">
        <v>135</v>
      </c>
    </row>
    <row r="25" spans="2:9" ht="21" x14ac:dyDescent="0.4">
      <c r="B25" s="4" t="s">
        <v>15</v>
      </c>
      <c r="C25" s="5">
        <v>18000</v>
      </c>
      <c r="D25" s="6"/>
      <c r="E25" s="5">
        <f>C25</f>
        <v>18000</v>
      </c>
      <c r="H25" t="s">
        <v>131</v>
      </c>
    </row>
    <row r="26" spans="2:9" ht="21" x14ac:dyDescent="0.4">
      <c r="B26" s="4" t="s">
        <v>122</v>
      </c>
      <c r="C26" s="5">
        <v>30000</v>
      </c>
      <c r="D26" s="6"/>
      <c r="E26" s="5">
        <f>C26</f>
        <v>30000</v>
      </c>
      <c r="H26" t="s">
        <v>132</v>
      </c>
    </row>
    <row r="27" spans="2:9" ht="21" x14ac:dyDescent="0.4">
      <c r="B27" s="3" t="s">
        <v>6</v>
      </c>
      <c r="C27" s="2"/>
      <c r="E27" s="11">
        <f>E28*5%</f>
        <v>12050</v>
      </c>
      <c r="H27" t="s">
        <v>133</v>
      </c>
    </row>
    <row r="28" spans="2:9" ht="21.6" thickBot="1" x14ac:dyDescent="0.45">
      <c r="B28" s="3" t="s">
        <v>7</v>
      </c>
      <c r="C28" s="2"/>
      <c r="E28" s="12">
        <f>E20+E21+E24+E23+E25+E26+E22</f>
        <v>241000</v>
      </c>
      <c r="H28" t="s">
        <v>134</v>
      </c>
    </row>
    <row r="29" spans="2:9" ht="21.6" thickTop="1" x14ac:dyDescent="0.4">
      <c r="B29" s="3" t="s">
        <v>8</v>
      </c>
      <c r="C29" s="2"/>
      <c r="E29" s="14">
        <f>E28+E27</f>
        <v>253050</v>
      </c>
      <c r="H29" t="s">
        <v>136</v>
      </c>
    </row>
    <row r="30" spans="2:9" ht="21" x14ac:dyDescent="0.4">
      <c r="B30" s="3" t="s">
        <v>9</v>
      </c>
      <c r="C30" s="2"/>
      <c r="E30" s="14">
        <f>E29/3500</f>
        <v>72.3</v>
      </c>
      <c r="H30" t="s">
        <v>129</v>
      </c>
    </row>
    <row r="31" spans="2:9" x14ac:dyDescent="0.3">
      <c r="H31" t="s">
        <v>137</v>
      </c>
    </row>
    <row r="32" spans="2:9" ht="21" x14ac:dyDescent="0.4">
      <c r="B32" s="1" t="s">
        <v>113</v>
      </c>
      <c r="C32" s="2"/>
      <c r="E32" s="2"/>
      <c r="F32">
        <v>1</v>
      </c>
      <c r="H32" t="s">
        <v>138</v>
      </c>
      <c r="I32" t="s">
        <v>139</v>
      </c>
    </row>
    <row r="33" spans="2:6" ht="21" x14ac:dyDescent="0.4">
      <c r="B33" s="3"/>
      <c r="C33" s="2"/>
      <c r="E33" s="3" t="s">
        <v>1</v>
      </c>
    </row>
    <row r="34" spans="2:6" ht="21" x14ac:dyDescent="0.4">
      <c r="B34" s="4" t="s">
        <v>53</v>
      </c>
      <c r="C34" s="5">
        <v>800000</v>
      </c>
      <c r="D34" s="6"/>
      <c r="E34" s="5">
        <f>C34/25</f>
        <v>32000</v>
      </c>
    </row>
    <row r="35" spans="2:6" ht="21" x14ac:dyDescent="0.4">
      <c r="B35" s="4" t="s">
        <v>2</v>
      </c>
      <c r="C35" s="5">
        <v>500000</v>
      </c>
      <c r="D35" s="6"/>
      <c r="E35" s="5">
        <f>C35/25</f>
        <v>20000</v>
      </c>
    </row>
    <row r="36" spans="2:6" ht="21" x14ac:dyDescent="0.4">
      <c r="B36" s="18" t="s">
        <v>121</v>
      </c>
      <c r="C36" s="5">
        <v>30000</v>
      </c>
      <c r="D36" s="6"/>
      <c r="E36" s="5">
        <f>C36</f>
        <v>30000</v>
      </c>
    </row>
    <row r="37" spans="2:6" ht="21" x14ac:dyDescent="0.4">
      <c r="B37" s="4" t="s">
        <v>4</v>
      </c>
      <c r="C37" s="5">
        <v>70000</v>
      </c>
      <c r="D37" s="6"/>
      <c r="E37" s="5">
        <f>C37</f>
        <v>70000</v>
      </c>
    </row>
    <row r="38" spans="2:6" ht="21" x14ac:dyDescent="0.4">
      <c r="B38" s="4" t="s">
        <v>5</v>
      </c>
      <c r="C38" s="5">
        <v>30000</v>
      </c>
      <c r="D38" s="6"/>
      <c r="E38" s="5">
        <f>C38</f>
        <v>30000</v>
      </c>
    </row>
    <row r="39" spans="2:6" ht="21" x14ac:dyDescent="0.4">
      <c r="B39" s="3" t="s">
        <v>6</v>
      </c>
      <c r="C39" s="2"/>
      <c r="E39" s="11">
        <f>E40*10%</f>
        <v>18200</v>
      </c>
    </row>
    <row r="40" spans="2:6" ht="21.6" thickBot="1" x14ac:dyDescent="0.45">
      <c r="B40" s="3" t="s">
        <v>7</v>
      </c>
      <c r="C40" s="2"/>
      <c r="E40" s="12">
        <f>E34+E35+E37+E38+E36</f>
        <v>182000</v>
      </c>
    </row>
    <row r="41" spans="2:6" ht="21.6" thickTop="1" x14ac:dyDescent="0.4">
      <c r="B41" s="3" t="s">
        <v>8</v>
      </c>
      <c r="C41" s="2"/>
      <c r="E41" s="14">
        <f>E40+E39</f>
        <v>200200</v>
      </c>
    </row>
    <row r="42" spans="2:6" ht="21" x14ac:dyDescent="0.4">
      <c r="B42" s="3" t="s">
        <v>9</v>
      </c>
      <c r="C42" s="2"/>
      <c r="E42" s="14">
        <f>E41/3500</f>
        <v>57.2</v>
      </c>
    </row>
    <row r="45" spans="2:6" ht="21" x14ac:dyDescent="0.4">
      <c r="B45" s="1" t="s">
        <v>30</v>
      </c>
      <c r="C45" s="2">
        <v>55</v>
      </c>
      <c r="E45" s="2"/>
      <c r="F45">
        <v>1</v>
      </c>
    </row>
    <row r="46" spans="2:6" ht="21" x14ac:dyDescent="0.4">
      <c r="B46" s="3"/>
      <c r="C46" s="2"/>
      <c r="E46" s="3" t="s">
        <v>1</v>
      </c>
    </row>
    <row r="47" spans="2:6" ht="21" x14ac:dyDescent="0.4">
      <c r="B47" s="4" t="s">
        <v>28</v>
      </c>
      <c r="C47" s="5">
        <v>500000</v>
      </c>
      <c r="D47" s="6"/>
      <c r="E47" s="5">
        <f>C47/25</f>
        <v>20000</v>
      </c>
    </row>
    <row r="48" spans="2:6" ht="21" x14ac:dyDescent="0.4">
      <c r="B48" s="4" t="s">
        <v>2</v>
      </c>
      <c r="C48" s="5">
        <v>200000</v>
      </c>
      <c r="D48" s="6"/>
      <c r="E48" s="5">
        <f>C48/25</f>
        <v>8000</v>
      </c>
    </row>
    <row r="49" spans="2:6" ht="21" x14ac:dyDescent="0.4">
      <c r="B49" s="18" t="s">
        <v>27</v>
      </c>
      <c r="C49" s="5">
        <v>20000</v>
      </c>
      <c r="D49" s="6"/>
      <c r="E49" s="5">
        <f>C49</f>
        <v>20000</v>
      </c>
    </row>
    <row r="50" spans="2:6" ht="21" x14ac:dyDescent="0.4">
      <c r="B50" s="4" t="s">
        <v>98</v>
      </c>
      <c r="C50" s="5">
        <v>150000</v>
      </c>
      <c r="D50" s="6"/>
      <c r="E50" s="5">
        <f>C50</f>
        <v>150000</v>
      </c>
    </row>
    <row r="51" spans="2:6" ht="21" x14ac:dyDescent="0.4">
      <c r="B51" s="4" t="s">
        <v>5</v>
      </c>
      <c r="C51" s="5">
        <v>0</v>
      </c>
      <c r="D51" s="6"/>
      <c r="E51" s="5">
        <f>C51</f>
        <v>0</v>
      </c>
    </row>
    <row r="52" spans="2:6" ht="21" x14ac:dyDescent="0.4">
      <c r="B52" s="3" t="s">
        <v>6</v>
      </c>
      <c r="C52" s="2"/>
      <c r="E52" s="11">
        <f>E53*10%</f>
        <v>19800</v>
      </c>
    </row>
    <row r="53" spans="2:6" ht="21.6" thickBot="1" x14ac:dyDescent="0.45">
      <c r="B53" s="3" t="s">
        <v>7</v>
      </c>
      <c r="C53" s="2"/>
      <c r="E53" s="12">
        <f>E47+E48+E50+E51+E49</f>
        <v>198000</v>
      </c>
    </row>
    <row r="54" spans="2:6" ht="21.6" thickTop="1" x14ac:dyDescent="0.4">
      <c r="B54" s="3" t="s">
        <v>8</v>
      </c>
      <c r="C54" s="2"/>
      <c r="E54" s="14">
        <f>E53+E52</f>
        <v>217800</v>
      </c>
    </row>
    <row r="55" spans="2:6" ht="21" x14ac:dyDescent="0.4">
      <c r="B55" s="3" t="s">
        <v>9</v>
      </c>
      <c r="C55" s="2"/>
      <c r="E55" s="14">
        <f>E54/3500</f>
        <v>62.228571428571428</v>
      </c>
    </row>
    <row r="57" spans="2:6" ht="21" x14ac:dyDescent="0.4">
      <c r="B57" s="210" t="s">
        <v>114</v>
      </c>
      <c r="C57" s="210"/>
      <c r="D57" s="210"/>
      <c r="E57" s="210"/>
      <c r="F57">
        <v>1</v>
      </c>
    </row>
    <row r="59" spans="2:6" ht="21" x14ac:dyDescent="0.4">
      <c r="B59" s="1" t="s">
        <v>117</v>
      </c>
      <c r="C59" s="2"/>
      <c r="E59" s="2"/>
    </row>
    <row r="60" spans="2:6" ht="21" x14ac:dyDescent="0.4">
      <c r="B60" s="3"/>
      <c r="C60" s="2"/>
      <c r="E60" s="3" t="s">
        <v>1</v>
      </c>
    </row>
    <row r="61" spans="2:6" ht="21" x14ac:dyDescent="0.4">
      <c r="B61" s="4" t="s">
        <v>100</v>
      </c>
      <c r="C61" s="5">
        <v>750000</v>
      </c>
      <c r="D61" s="6"/>
      <c r="E61" s="5">
        <f>C61/25</f>
        <v>30000</v>
      </c>
    </row>
    <row r="62" spans="2:6" ht="21" x14ac:dyDescent="0.4">
      <c r="B62" s="4" t="s">
        <v>2</v>
      </c>
      <c r="C62" s="5">
        <v>500000</v>
      </c>
      <c r="D62" s="6"/>
      <c r="E62" s="5">
        <f>C62/25</f>
        <v>20000</v>
      </c>
    </row>
    <row r="63" spans="2:6" ht="21" x14ac:dyDescent="0.4">
      <c r="B63" s="18" t="s">
        <v>4</v>
      </c>
      <c r="C63" s="5">
        <v>30000</v>
      </c>
      <c r="D63" s="6"/>
      <c r="E63" s="5">
        <f>C63</f>
        <v>30000</v>
      </c>
    </row>
    <row r="64" spans="2:6" ht="21" x14ac:dyDescent="0.4">
      <c r="B64" s="4"/>
      <c r="C64" s="5">
        <v>30000</v>
      </c>
      <c r="D64" s="6"/>
      <c r="E64" s="5">
        <f>C64</f>
        <v>30000</v>
      </c>
    </row>
    <row r="65" spans="2:6" ht="21" x14ac:dyDescent="0.4">
      <c r="B65" s="4" t="s">
        <v>5</v>
      </c>
      <c r="C65" s="5">
        <v>30000</v>
      </c>
      <c r="D65" s="6"/>
      <c r="E65" s="5">
        <f>C65</f>
        <v>30000</v>
      </c>
    </row>
    <row r="66" spans="2:6" ht="21" x14ac:dyDescent="0.4">
      <c r="B66" s="3" t="s">
        <v>6</v>
      </c>
      <c r="C66" s="2"/>
      <c r="E66" s="11">
        <f>E67*5%</f>
        <v>7000</v>
      </c>
    </row>
    <row r="67" spans="2:6" ht="21.6" thickBot="1" x14ac:dyDescent="0.45">
      <c r="B67" s="3" t="s">
        <v>7</v>
      </c>
      <c r="C67" s="2"/>
      <c r="E67" s="12">
        <f>E61+E62+E64+E65+E63</f>
        <v>140000</v>
      </c>
    </row>
    <row r="68" spans="2:6" ht="21.6" thickTop="1" x14ac:dyDescent="0.4">
      <c r="B68" s="3" t="s">
        <v>8</v>
      </c>
      <c r="C68" s="2"/>
      <c r="E68" s="14">
        <f>E67+E66</f>
        <v>147000</v>
      </c>
    </row>
    <row r="69" spans="2:6" ht="21" x14ac:dyDescent="0.4">
      <c r="B69" s="3" t="s">
        <v>9</v>
      </c>
      <c r="C69" s="2"/>
      <c r="E69" s="14">
        <f>E68/3500</f>
        <v>42</v>
      </c>
    </row>
    <row r="71" spans="2:6" ht="21" x14ac:dyDescent="0.4">
      <c r="B71" s="210" t="s">
        <v>116</v>
      </c>
      <c r="C71" s="210"/>
      <c r="D71" s="210"/>
      <c r="E71" s="210"/>
    </row>
    <row r="73" spans="2:6" ht="21" x14ac:dyDescent="0.4">
      <c r="B73" s="1" t="s">
        <v>115</v>
      </c>
      <c r="C73" s="2">
        <v>55</v>
      </c>
      <c r="E73" s="2"/>
      <c r="F73">
        <v>1</v>
      </c>
    </row>
    <row r="74" spans="2:6" ht="21" x14ac:dyDescent="0.4">
      <c r="B74" s="3"/>
      <c r="C74" s="2"/>
      <c r="E74" s="3" t="s">
        <v>1</v>
      </c>
    </row>
    <row r="75" spans="2:6" ht="21" x14ac:dyDescent="0.4">
      <c r="B75" s="4" t="s">
        <v>100</v>
      </c>
      <c r="C75" s="5">
        <v>800000</v>
      </c>
      <c r="D75" s="6"/>
      <c r="E75" s="5">
        <f>C75/25</f>
        <v>32000</v>
      </c>
    </row>
    <row r="76" spans="2:6" ht="21" x14ac:dyDescent="0.4">
      <c r="B76" s="4" t="s">
        <v>2</v>
      </c>
      <c r="C76" s="5">
        <v>500000</v>
      </c>
      <c r="D76" s="6"/>
      <c r="E76" s="5">
        <f>C76/25</f>
        <v>20000</v>
      </c>
    </row>
    <row r="77" spans="2:6" ht="21" x14ac:dyDescent="0.4">
      <c r="B77" s="4" t="s">
        <v>4</v>
      </c>
      <c r="C77" s="5"/>
      <c r="D77" s="6"/>
      <c r="E77" s="5"/>
    </row>
    <row r="78" spans="2:6" ht="21" x14ac:dyDescent="0.4">
      <c r="B78" s="18" t="s">
        <v>120</v>
      </c>
      <c r="C78" s="5">
        <v>0</v>
      </c>
      <c r="D78" s="6"/>
      <c r="E78" s="5">
        <f>C78</f>
        <v>0</v>
      </c>
    </row>
    <row r="79" spans="2:6" ht="21" x14ac:dyDescent="0.4">
      <c r="B79" s="4" t="s">
        <v>102</v>
      </c>
      <c r="C79" s="5">
        <v>0</v>
      </c>
      <c r="D79" s="6"/>
      <c r="E79" s="5">
        <f>C79</f>
        <v>0</v>
      </c>
    </row>
    <row r="80" spans="2:6" ht="21" x14ac:dyDescent="0.4">
      <c r="B80" s="4" t="s">
        <v>5</v>
      </c>
      <c r="C80" s="5">
        <v>20000</v>
      </c>
      <c r="D80" s="6"/>
      <c r="E80" s="5">
        <f>C80</f>
        <v>20000</v>
      </c>
    </row>
    <row r="81" spans="2:6" ht="21" x14ac:dyDescent="0.4">
      <c r="B81" s="3" t="s">
        <v>6</v>
      </c>
      <c r="C81" s="2"/>
      <c r="E81" s="11">
        <f>E82*5%</f>
        <v>3600</v>
      </c>
    </row>
    <row r="82" spans="2:6" ht="21.6" thickBot="1" x14ac:dyDescent="0.45">
      <c r="B82" s="3" t="s">
        <v>7</v>
      </c>
      <c r="C82" s="2"/>
      <c r="E82" s="12">
        <f>E75+E76+E79+E80+E78</f>
        <v>72000</v>
      </c>
    </row>
    <row r="83" spans="2:6" ht="21.6" thickTop="1" x14ac:dyDescent="0.4">
      <c r="B83" s="3" t="s">
        <v>8</v>
      </c>
      <c r="C83" s="2"/>
      <c r="E83" s="14">
        <f>E82+E81</f>
        <v>75600</v>
      </c>
    </row>
    <row r="84" spans="2:6" ht="21" x14ac:dyDescent="0.4">
      <c r="B84" s="3" t="s">
        <v>9</v>
      </c>
      <c r="C84" s="2"/>
      <c r="E84" s="14">
        <f>E83/3500</f>
        <v>21.6</v>
      </c>
    </row>
    <row r="87" spans="2:6" ht="21" x14ac:dyDescent="0.4">
      <c r="B87" s="15" t="s">
        <v>16</v>
      </c>
      <c r="C87" s="2"/>
      <c r="E87" s="2"/>
      <c r="F87">
        <v>1</v>
      </c>
    </row>
    <row r="88" spans="2:6" ht="21" x14ac:dyDescent="0.4">
      <c r="B88" s="3"/>
      <c r="C88" s="2"/>
      <c r="E88" s="3" t="s">
        <v>1</v>
      </c>
    </row>
    <row r="89" spans="2:6" ht="21" x14ac:dyDescent="0.4">
      <c r="B89" s="4" t="s">
        <v>1</v>
      </c>
      <c r="C89" s="5">
        <v>800000</v>
      </c>
      <c r="E89" s="5">
        <f>C89/25</f>
        <v>32000</v>
      </c>
    </row>
    <row r="90" spans="2:6" ht="21" x14ac:dyDescent="0.4">
      <c r="B90" s="4" t="s">
        <v>5</v>
      </c>
      <c r="C90" s="5">
        <v>10000</v>
      </c>
      <c r="E90" s="5">
        <f>C90</f>
        <v>10000</v>
      </c>
    </row>
    <row r="91" spans="2:6" ht="21" x14ac:dyDescent="0.4">
      <c r="B91" s="4" t="s">
        <v>4</v>
      </c>
      <c r="C91" s="5"/>
      <c r="E91" s="5"/>
    </row>
    <row r="92" spans="2:6" ht="21" x14ac:dyDescent="0.4">
      <c r="B92" s="4" t="s">
        <v>12</v>
      </c>
      <c r="C92" s="5"/>
      <c r="E92" s="5"/>
    </row>
    <row r="93" spans="2:6" ht="21" x14ac:dyDescent="0.4">
      <c r="B93" s="4" t="s">
        <v>2</v>
      </c>
      <c r="C93" s="5">
        <v>300000</v>
      </c>
      <c r="E93" s="5">
        <f>C93/25</f>
        <v>12000</v>
      </c>
    </row>
    <row r="94" spans="2:6" ht="21" x14ac:dyDescent="0.4">
      <c r="B94" s="3" t="s">
        <v>6</v>
      </c>
      <c r="C94" s="2"/>
      <c r="E94" s="11">
        <f>E95*10%</f>
        <v>5400</v>
      </c>
    </row>
    <row r="95" spans="2:6" ht="21.6" thickBot="1" x14ac:dyDescent="0.45">
      <c r="B95" s="3" t="s">
        <v>7</v>
      </c>
      <c r="C95" s="2"/>
      <c r="E95" s="12">
        <f>E89+E90+E93</f>
        <v>54000</v>
      </c>
    </row>
    <row r="96" spans="2:6" ht="21.6" thickTop="1" x14ac:dyDescent="0.4">
      <c r="B96" s="3" t="s">
        <v>8</v>
      </c>
      <c r="C96" s="2"/>
      <c r="E96" s="14">
        <f>E95+E94</f>
        <v>59400</v>
      </c>
    </row>
    <row r="97" spans="2:9" ht="21" x14ac:dyDescent="0.4">
      <c r="B97" s="3" t="s">
        <v>9</v>
      </c>
      <c r="C97" s="2"/>
      <c r="E97" s="17">
        <f>E96/3500</f>
        <v>16.971428571428572</v>
      </c>
    </row>
    <row r="99" spans="2:9" ht="21" x14ac:dyDescent="0.4">
      <c r="B99" s="212" t="s">
        <v>140</v>
      </c>
      <c r="C99" s="212"/>
      <c r="D99" s="212"/>
      <c r="E99" s="212"/>
    </row>
    <row r="101" spans="2:9" ht="21" x14ac:dyDescent="0.4">
      <c r="B101" s="15" t="s">
        <v>141</v>
      </c>
      <c r="C101" s="16">
        <v>30</v>
      </c>
      <c r="E101" s="2"/>
      <c r="H101" s="209" t="s">
        <v>118</v>
      </c>
      <c r="I101" s="209"/>
    </row>
    <row r="102" spans="2:9" ht="21" x14ac:dyDescent="0.4">
      <c r="B102" s="3"/>
      <c r="C102" s="2"/>
      <c r="E102" s="3" t="s">
        <v>1</v>
      </c>
      <c r="H102" s="18" t="s">
        <v>38</v>
      </c>
      <c r="I102" s="6"/>
    </row>
    <row r="103" spans="2:9" ht="21" x14ac:dyDescent="0.4">
      <c r="B103" s="4" t="s">
        <v>1</v>
      </c>
      <c r="C103" s="5">
        <f>320000*2</f>
        <v>640000</v>
      </c>
      <c r="E103" s="5">
        <f>C103/25</f>
        <v>25600</v>
      </c>
      <c r="H103" s="18" t="s">
        <v>16</v>
      </c>
      <c r="I103" s="6"/>
    </row>
    <row r="104" spans="2:9" ht="21" x14ac:dyDescent="0.4">
      <c r="B104" s="4" t="s">
        <v>5</v>
      </c>
      <c r="C104" s="5">
        <v>10000</v>
      </c>
      <c r="E104" s="5">
        <f>C104</f>
        <v>10000</v>
      </c>
      <c r="H104" s="18" t="s">
        <v>113</v>
      </c>
      <c r="I104" s="6"/>
    </row>
    <row r="105" spans="2:9" ht="21" x14ac:dyDescent="0.4">
      <c r="B105" s="4" t="s">
        <v>2</v>
      </c>
      <c r="C105" s="5">
        <v>300000</v>
      </c>
      <c r="E105" s="5">
        <f>C105/25</f>
        <v>12000</v>
      </c>
      <c r="H105" s="18" t="s">
        <v>30</v>
      </c>
      <c r="I105" s="6"/>
    </row>
    <row r="106" spans="2:9" ht="21" x14ac:dyDescent="0.4">
      <c r="B106" s="3" t="s">
        <v>6</v>
      </c>
      <c r="C106" s="2"/>
      <c r="E106" s="11">
        <f>E107*10%</f>
        <v>4760</v>
      </c>
      <c r="H106" s="209" t="s">
        <v>114</v>
      </c>
      <c r="I106" s="209"/>
    </row>
    <row r="107" spans="2:9" ht="21.6" thickBot="1" x14ac:dyDescent="0.45">
      <c r="B107" s="3" t="s">
        <v>7</v>
      </c>
      <c r="C107" s="2"/>
      <c r="E107" s="12">
        <f>E103+E104+E105</f>
        <v>47600</v>
      </c>
      <c r="H107" s="18" t="s">
        <v>119</v>
      </c>
      <c r="I107" s="6"/>
    </row>
    <row r="108" spans="2:9" ht="21.6" thickTop="1" x14ac:dyDescent="0.4">
      <c r="B108" s="3" t="s">
        <v>8</v>
      </c>
      <c r="C108" s="2"/>
      <c r="E108" s="14">
        <f>E107+E106</f>
        <v>52360</v>
      </c>
      <c r="H108" s="209" t="s">
        <v>116</v>
      </c>
      <c r="I108" s="209"/>
    </row>
    <row r="109" spans="2:9" ht="21" x14ac:dyDescent="0.4">
      <c r="B109" s="3" t="s">
        <v>9</v>
      </c>
      <c r="C109" s="2"/>
      <c r="E109" s="17">
        <f>E108/3500</f>
        <v>14.96</v>
      </c>
      <c r="H109" s="18" t="s">
        <v>115</v>
      </c>
      <c r="I109" s="6"/>
    </row>
    <row r="110" spans="2:9" ht="21" x14ac:dyDescent="0.4">
      <c r="H110" s="18" t="s">
        <v>16</v>
      </c>
      <c r="I110" s="5"/>
    </row>
    <row r="111" spans="2:9" ht="21" x14ac:dyDescent="0.4">
      <c r="I111" s="2">
        <f>I102+I103+I104+I105+I107+I109+I110</f>
        <v>0</v>
      </c>
    </row>
    <row r="113" spans="2:9" x14ac:dyDescent="0.3">
      <c r="H113" t="s">
        <v>123</v>
      </c>
    </row>
    <row r="114" spans="2:9" ht="21" x14ac:dyDescent="0.4">
      <c r="B114" s="1" t="s">
        <v>16</v>
      </c>
      <c r="C114" s="2">
        <v>90</v>
      </c>
      <c r="E114" s="2"/>
      <c r="F114">
        <v>1</v>
      </c>
      <c r="H114" t="s">
        <v>126</v>
      </c>
    </row>
    <row r="115" spans="2:9" ht="21" x14ac:dyDescent="0.4">
      <c r="B115" s="3"/>
      <c r="C115" s="2"/>
      <c r="E115" s="3" t="s">
        <v>1</v>
      </c>
      <c r="H115" t="s">
        <v>124</v>
      </c>
      <c r="I115" t="s">
        <v>125</v>
      </c>
    </row>
    <row r="116" spans="2:9" ht="21" x14ac:dyDescent="0.4">
      <c r="B116" s="4" t="s">
        <v>1</v>
      </c>
      <c r="C116" s="5">
        <v>750000</v>
      </c>
      <c r="D116" s="6"/>
      <c r="E116" s="5">
        <f>C116/25</f>
        <v>30000</v>
      </c>
      <c r="H116" t="s">
        <v>127</v>
      </c>
    </row>
    <row r="117" spans="2:9" ht="21" x14ac:dyDescent="0.4">
      <c r="B117" s="4" t="s">
        <v>2</v>
      </c>
      <c r="C117" s="5">
        <v>500000</v>
      </c>
      <c r="D117" s="6"/>
      <c r="E117" s="5">
        <f>C117/25</f>
        <v>20000</v>
      </c>
      <c r="H117" t="s">
        <v>128</v>
      </c>
    </row>
    <row r="118" spans="2:9" ht="21" x14ac:dyDescent="0.4">
      <c r="B118" s="18" t="s">
        <v>94</v>
      </c>
      <c r="C118" s="5">
        <v>200000</v>
      </c>
      <c r="D118" s="6"/>
      <c r="E118" s="5">
        <f>C118/25</f>
        <v>8000</v>
      </c>
      <c r="H118" t="s">
        <v>129</v>
      </c>
    </row>
    <row r="119" spans="2:9" ht="21" x14ac:dyDescent="0.4">
      <c r="B119" s="4" t="s">
        <v>13</v>
      </c>
      <c r="C119" s="5">
        <v>35000</v>
      </c>
      <c r="D119" s="6"/>
      <c r="E119" s="5">
        <f>C119</f>
        <v>35000</v>
      </c>
      <c r="H119" t="s">
        <v>130</v>
      </c>
    </row>
    <row r="120" spans="2:9" ht="21" x14ac:dyDescent="0.4">
      <c r="B120" s="4" t="s">
        <v>14</v>
      </c>
      <c r="C120" s="5">
        <v>100000</v>
      </c>
      <c r="D120" s="6"/>
      <c r="E120" s="5">
        <f>C120</f>
        <v>100000</v>
      </c>
      <c r="H120" t="s">
        <v>135</v>
      </c>
    </row>
    <row r="121" spans="2:9" ht="21" x14ac:dyDescent="0.4">
      <c r="B121" s="4" t="s">
        <v>15</v>
      </c>
      <c r="C121" s="5">
        <v>18000</v>
      </c>
      <c r="D121" s="6"/>
      <c r="E121" s="5">
        <f>C121</f>
        <v>18000</v>
      </c>
      <c r="H121" t="s">
        <v>131</v>
      </c>
    </row>
    <row r="122" spans="2:9" ht="21" x14ac:dyDescent="0.4">
      <c r="B122" s="4" t="s">
        <v>122</v>
      </c>
      <c r="C122" s="5">
        <v>30000</v>
      </c>
      <c r="D122" s="6"/>
      <c r="E122" s="5">
        <f>C122</f>
        <v>30000</v>
      </c>
      <c r="H122" t="s">
        <v>132</v>
      </c>
    </row>
    <row r="123" spans="2:9" ht="21" x14ac:dyDescent="0.4">
      <c r="B123" s="3" t="s">
        <v>6</v>
      </c>
      <c r="C123" s="2"/>
      <c r="E123" s="11">
        <f>E124*5%</f>
        <v>12050</v>
      </c>
      <c r="H123" t="s">
        <v>133</v>
      </c>
    </row>
    <row r="124" spans="2:9" ht="21.6" thickBot="1" x14ac:dyDescent="0.45">
      <c r="B124" s="3" t="s">
        <v>7</v>
      </c>
      <c r="C124" s="2"/>
      <c r="E124" s="12">
        <f>E116+E117+E120+E119+E121+E122+E118</f>
        <v>241000</v>
      </c>
      <c r="H124" t="s">
        <v>134</v>
      </c>
    </row>
    <row r="125" spans="2:9" ht="21.6" thickTop="1" x14ac:dyDescent="0.4">
      <c r="B125" s="3" t="s">
        <v>8</v>
      </c>
      <c r="C125" s="2"/>
      <c r="E125" s="14">
        <f>E124+E123</f>
        <v>253050</v>
      </c>
      <c r="H125" t="s">
        <v>136</v>
      </c>
    </row>
    <row r="126" spans="2:9" ht="21" x14ac:dyDescent="0.4">
      <c r="B126" s="3" t="s">
        <v>9</v>
      </c>
      <c r="C126" s="2"/>
      <c r="E126" s="14">
        <f>E125/3500</f>
        <v>72.3</v>
      </c>
      <c r="H126" t="s">
        <v>129</v>
      </c>
    </row>
    <row r="127" spans="2:9" x14ac:dyDescent="0.3">
      <c r="H127" t="s">
        <v>137</v>
      </c>
    </row>
    <row r="128" spans="2:9" ht="21" x14ac:dyDescent="0.4">
      <c r="B128" s="1" t="s">
        <v>113</v>
      </c>
      <c r="C128" s="2"/>
      <c r="E128" s="2"/>
      <c r="F128">
        <v>1</v>
      </c>
      <c r="H128" t="s">
        <v>138</v>
      </c>
      <c r="I128" t="s">
        <v>139</v>
      </c>
    </row>
    <row r="129" spans="2:6" ht="21" x14ac:dyDescent="0.4">
      <c r="B129" s="3"/>
      <c r="C129" s="2"/>
      <c r="E129" s="3" t="s">
        <v>1</v>
      </c>
    </row>
    <row r="130" spans="2:6" ht="21" x14ac:dyDescent="0.4">
      <c r="B130" s="4" t="s">
        <v>53</v>
      </c>
      <c r="C130" s="5">
        <v>800000</v>
      </c>
      <c r="D130" s="6"/>
      <c r="E130" s="5">
        <f>C130/25</f>
        <v>32000</v>
      </c>
    </row>
    <row r="131" spans="2:6" ht="21" x14ac:dyDescent="0.4">
      <c r="B131" s="4" t="s">
        <v>2</v>
      </c>
      <c r="C131" s="5">
        <v>500000</v>
      </c>
      <c r="D131" s="6"/>
      <c r="E131" s="5">
        <f>C131/25</f>
        <v>20000</v>
      </c>
    </row>
    <row r="132" spans="2:6" ht="21" x14ac:dyDescent="0.4">
      <c r="B132" s="18" t="s">
        <v>121</v>
      </c>
      <c r="C132" s="5">
        <v>30000</v>
      </c>
      <c r="D132" s="6"/>
      <c r="E132" s="5">
        <f>C132</f>
        <v>30000</v>
      </c>
    </row>
    <row r="133" spans="2:6" ht="21" x14ac:dyDescent="0.4">
      <c r="B133" s="4" t="s">
        <v>4</v>
      </c>
      <c r="C133" s="5">
        <v>70000</v>
      </c>
      <c r="D133" s="6"/>
      <c r="E133" s="5">
        <f>C133</f>
        <v>70000</v>
      </c>
    </row>
    <row r="134" spans="2:6" ht="21" x14ac:dyDescent="0.4">
      <c r="B134" s="4" t="s">
        <v>5</v>
      </c>
      <c r="C134" s="5">
        <v>30000</v>
      </c>
      <c r="D134" s="6"/>
      <c r="E134" s="5">
        <f>C134</f>
        <v>30000</v>
      </c>
    </row>
    <row r="135" spans="2:6" ht="21" x14ac:dyDescent="0.4">
      <c r="B135" s="3" t="s">
        <v>6</v>
      </c>
      <c r="C135" s="2"/>
      <c r="E135" s="11">
        <f>E136*10%</f>
        <v>18200</v>
      </c>
    </row>
    <row r="136" spans="2:6" ht="21.6" thickBot="1" x14ac:dyDescent="0.45">
      <c r="B136" s="3" t="s">
        <v>7</v>
      </c>
      <c r="C136" s="2"/>
      <c r="E136" s="12">
        <f>E130+E131+E133+E134+E132</f>
        <v>182000</v>
      </c>
    </row>
    <row r="137" spans="2:6" ht="21.6" thickTop="1" x14ac:dyDescent="0.4">
      <c r="B137" s="3" t="s">
        <v>8</v>
      </c>
      <c r="C137" s="2"/>
      <c r="E137" s="14">
        <f>E136+E135</f>
        <v>200200</v>
      </c>
    </row>
    <row r="138" spans="2:6" ht="21" x14ac:dyDescent="0.4">
      <c r="B138" s="3" t="s">
        <v>9</v>
      </c>
      <c r="C138" s="2"/>
      <c r="E138" s="14">
        <f>E137/3500</f>
        <v>57.2</v>
      </c>
    </row>
    <row r="141" spans="2:6" ht="21" x14ac:dyDescent="0.4">
      <c r="B141" s="1" t="s">
        <v>30</v>
      </c>
      <c r="C141" s="2">
        <v>55</v>
      </c>
      <c r="E141" s="2"/>
      <c r="F141">
        <v>1</v>
      </c>
    </row>
    <row r="142" spans="2:6" ht="21" x14ac:dyDescent="0.4">
      <c r="B142" s="3"/>
      <c r="C142" s="2"/>
      <c r="E142" s="3" t="s">
        <v>1</v>
      </c>
    </row>
    <row r="143" spans="2:6" ht="21" x14ac:dyDescent="0.4">
      <c r="B143" s="4" t="s">
        <v>28</v>
      </c>
      <c r="C143" s="5">
        <v>500000</v>
      </c>
      <c r="D143" s="6"/>
      <c r="E143" s="5">
        <f>C143/25</f>
        <v>20000</v>
      </c>
    </row>
    <row r="144" spans="2:6" ht="21" x14ac:dyDescent="0.4">
      <c r="B144" s="4" t="s">
        <v>2</v>
      </c>
      <c r="C144" s="5">
        <v>200000</v>
      </c>
      <c r="D144" s="6"/>
      <c r="E144" s="5">
        <f>C144/25</f>
        <v>8000</v>
      </c>
    </row>
    <row r="145" spans="2:6" ht="21" x14ac:dyDescent="0.4">
      <c r="B145" s="18" t="s">
        <v>27</v>
      </c>
      <c r="C145" s="5">
        <v>20000</v>
      </c>
      <c r="D145" s="6"/>
      <c r="E145" s="5">
        <f>C145</f>
        <v>20000</v>
      </c>
    </row>
    <row r="146" spans="2:6" ht="21" x14ac:dyDescent="0.4">
      <c r="B146" s="4" t="s">
        <v>98</v>
      </c>
      <c r="C146" s="5">
        <v>150000</v>
      </c>
      <c r="D146" s="6"/>
      <c r="E146" s="5">
        <f>C146</f>
        <v>150000</v>
      </c>
    </row>
    <row r="147" spans="2:6" ht="21" x14ac:dyDescent="0.4">
      <c r="B147" s="4" t="s">
        <v>5</v>
      </c>
      <c r="C147" s="5">
        <v>0</v>
      </c>
      <c r="D147" s="6"/>
      <c r="E147" s="5">
        <f>C147</f>
        <v>0</v>
      </c>
    </row>
    <row r="148" spans="2:6" ht="21" x14ac:dyDescent="0.4">
      <c r="B148" s="3" t="s">
        <v>6</v>
      </c>
      <c r="C148" s="2"/>
      <c r="E148" s="11">
        <f>E149*10%</f>
        <v>19800</v>
      </c>
    </row>
    <row r="149" spans="2:6" ht="21.6" thickBot="1" x14ac:dyDescent="0.45">
      <c r="B149" s="3" t="s">
        <v>7</v>
      </c>
      <c r="C149" s="2"/>
      <c r="E149" s="12">
        <f>E143+E144+E146+E147+E145</f>
        <v>198000</v>
      </c>
    </row>
    <row r="150" spans="2:6" ht="21.6" thickTop="1" x14ac:dyDescent="0.4">
      <c r="B150" s="3" t="s">
        <v>8</v>
      </c>
      <c r="C150" s="2"/>
      <c r="E150" s="14">
        <f>E149+E148</f>
        <v>217800</v>
      </c>
    </row>
    <row r="151" spans="2:6" ht="21" x14ac:dyDescent="0.4">
      <c r="B151" s="3" t="s">
        <v>9</v>
      </c>
      <c r="C151" s="2"/>
      <c r="E151" s="14">
        <f>E150/3500</f>
        <v>62.228571428571428</v>
      </c>
    </row>
    <row r="153" spans="2:6" ht="21" x14ac:dyDescent="0.4">
      <c r="B153" s="210" t="s">
        <v>114</v>
      </c>
      <c r="C153" s="210"/>
      <c r="D153" s="210"/>
      <c r="E153" s="210"/>
      <c r="F153">
        <v>1</v>
      </c>
    </row>
    <row r="155" spans="2:6" ht="21" x14ac:dyDescent="0.4">
      <c r="B155" s="1" t="s">
        <v>117</v>
      </c>
      <c r="C155" s="2"/>
      <c r="E155" s="2"/>
    </row>
    <row r="156" spans="2:6" ht="21" x14ac:dyDescent="0.4">
      <c r="B156" s="3"/>
      <c r="C156" s="2"/>
      <c r="E156" s="3" t="s">
        <v>1</v>
      </c>
    </row>
    <row r="157" spans="2:6" ht="21" x14ac:dyDescent="0.4">
      <c r="B157" s="4" t="s">
        <v>100</v>
      </c>
      <c r="C157" s="5">
        <v>750000</v>
      </c>
      <c r="D157" s="6"/>
      <c r="E157" s="5">
        <f>C157/25</f>
        <v>30000</v>
      </c>
    </row>
    <row r="158" spans="2:6" ht="21" x14ac:dyDescent="0.4">
      <c r="B158" s="4" t="s">
        <v>2</v>
      </c>
      <c r="C158" s="5">
        <v>500000</v>
      </c>
      <c r="D158" s="6"/>
      <c r="E158" s="5">
        <f>C158/25</f>
        <v>20000</v>
      </c>
    </row>
    <row r="159" spans="2:6" ht="21" x14ac:dyDescent="0.4">
      <c r="B159" s="18" t="s">
        <v>4</v>
      </c>
      <c r="C159" s="5">
        <v>30000</v>
      </c>
      <c r="D159" s="6"/>
      <c r="E159" s="5">
        <f>C159</f>
        <v>30000</v>
      </c>
    </row>
    <row r="160" spans="2:6" ht="21" x14ac:dyDescent="0.4">
      <c r="B160" s="4"/>
      <c r="C160" s="5">
        <v>30000</v>
      </c>
      <c r="D160" s="6"/>
      <c r="E160" s="5">
        <f>C160</f>
        <v>30000</v>
      </c>
    </row>
    <row r="161" spans="2:6" ht="21" x14ac:dyDescent="0.4">
      <c r="B161" s="4" t="s">
        <v>5</v>
      </c>
      <c r="C161" s="5">
        <v>30000</v>
      </c>
      <c r="D161" s="6"/>
      <c r="E161" s="5">
        <f>C161</f>
        <v>30000</v>
      </c>
    </row>
    <row r="162" spans="2:6" ht="21" x14ac:dyDescent="0.4">
      <c r="B162" s="3" t="s">
        <v>6</v>
      </c>
      <c r="C162" s="2"/>
      <c r="E162" s="11">
        <f>E163*5%</f>
        <v>7000</v>
      </c>
    </row>
    <row r="163" spans="2:6" ht="21.6" thickBot="1" x14ac:dyDescent="0.45">
      <c r="B163" s="3" t="s">
        <v>7</v>
      </c>
      <c r="C163" s="2"/>
      <c r="E163" s="12">
        <f>E157+E158+E160+E161+E159</f>
        <v>140000</v>
      </c>
    </row>
    <row r="164" spans="2:6" ht="21.6" thickTop="1" x14ac:dyDescent="0.4">
      <c r="B164" s="3" t="s">
        <v>8</v>
      </c>
      <c r="C164" s="2"/>
      <c r="E164" s="14">
        <f>E163+E162</f>
        <v>147000</v>
      </c>
    </row>
    <row r="165" spans="2:6" ht="21" x14ac:dyDescent="0.4">
      <c r="B165" s="3" t="s">
        <v>9</v>
      </c>
      <c r="C165" s="2"/>
      <c r="E165" s="14">
        <f>E164/3500</f>
        <v>42</v>
      </c>
    </row>
    <row r="167" spans="2:6" ht="21" x14ac:dyDescent="0.4">
      <c r="B167" s="210" t="s">
        <v>116</v>
      </c>
      <c r="C167" s="210"/>
      <c r="D167" s="210"/>
      <c r="E167" s="210"/>
    </row>
    <row r="169" spans="2:6" ht="21" x14ac:dyDescent="0.4">
      <c r="B169" s="1" t="s">
        <v>115</v>
      </c>
      <c r="C169" s="2">
        <v>55</v>
      </c>
      <c r="E169" s="2"/>
      <c r="F169">
        <v>1</v>
      </c>
    </row>
    <row r="170" spans="2:6" ht="21" x14ac:dyDescent="0.4">
      <c r="B170" s="3"/>
      <c r="C170" s="2"/>
      <c r="E170" s="3" t="s">
        <v>1</v>
      </c>
    </row>
    <row r="171" spans="2:6" ht="21" x14ac:dyDescent="0.4">
      <c r="B171" s="4" t="s">
        <v>100</v>
      </c>
      <c r="C171" s="5">
        <v>800000</v>
      </c>
      <c r="D171" s="6"/>
      <c r="E171" s="5">
        <f>C171/25</f>
        <v>32000</v>
      </c>
    </row>
    <row r="172" spans="2:6" ht="21" x14ac:dyDescent="0.4">
      <c r="B172" s="4" t="s">
        <v>2</v>
      </c>
      <c r="C172" s="5">
        <v>500000</v>
      </c>
      <c r="D172" s="6"/>
      <c r="E172" s="5">
        <f>C172/25</f>
        <v>20000</v>
      </c>
    </row>
    <row r="173" spans="2:6" ht="21" x14ac:dyDescent="0.4">
      <c r="B173" s="4" t="s">
        <v>4</v>
      </c>
      <c r="C173" s="5"/>
      <c r="D173" s="6"/>
      <c r="E173" s="5"/>
    </row>
    <row r="174" spans="2:6" ht="21" x14ac:dyDescent="0.4">
      <c r="B174" s="18" t="s">
        <v>120</v>
      </c>
      <c r="C174" s="5">
        <v>0</v>
      </c>
      <c r="D174" s="6"/>
      <c r="E174" s="5">
        <f>C174</f>
        <v>0</v>
      </c>
    </row>
    <row r="175" spans="2:6" ht="21" x14ac:dyDescent="0.4">
      <c r="B175" s="4" t="s">
        <v>102</v>
      </c>
      <c r="C175" s="5">
        <v>0</v>
      </c>
      <c r="D175" s="6"/>
      <c r="E175" s="5">
        <f>C175</f>
        <v>0</v>
      </c>
    </row>
    <row r="176" spans="2:6" ht="21" x14ac:dyDescent="0.4">
      <c r="B176" s="4" t="s">
        <v>5</v>
      </c>
      <c r="C176" s="5">
        <v>20000</v>
      </c>
      <c r="D176" s="6"/>
      <c r="E176" s="5">
        <f>C176</f>
        <v>20000</v>
      </c>
    </row>
    <row r="177" spans="2:6" ht="21" x14ac:dyDescent="0.4">
      <c r="B177" s="3" t="s">
        <v>6</v>
      </c>
      <c r="C177" s="2"/>
      <c r="E177" s="11">
        <f>E178*5%</f>
        <v>3600</v>
      </c>
    </row>
    <row r="178" spans="2:6" ht="21.6" thickBot="1" x14ac:dyDescent="0.45">
      <c r="B178" s="3" t="s">
        <v>7</v>
      </c>
      <c r="C178" s="2"/>
      <c r="E178" s="12">
        <f>E171+E172+E175+E176+E174</f>
        <v>72000</v>
      </c>
    </row>
    <row r="179" spans="2:6" ht="21.6" thickTop="1" x14ac:dyDescent="0.4">
      <c r="B179" s="3" t="s">
        <v>8</v>
      </c>
      <c r="C179" s="2"/>
      <c r="E179" s="14">
        <f>E178+E177</f>
        <v>75600</v>
      </c>
    </row>
    <row r="180" spans="2:6" ht="21" x14ac:dyDescent="0.4">
      <c r="B180" s="3" t="s">
        <v>9</v>
      </c>
      <c r="C180" s="2"/>
      <c r="E180" s="14">
        <f>E179/3500</f>
        <v>21.6</v>
      </c>
    </row>
    <row r="183" spans="2:6" ht="21" x14ac:dyDescent="0.4">
      <c r="B183" s="15" t="s">
        <v>16</v>
      </c>
      <c r="C183" s="2"/>
      <c r="E183" s="2"/>
      <c r="F183">
        <v>1</v>
      </c>
    </row>
    <row r="184" spans="2:6" ht="21" x14ac:dyDescent="0.4">
      <c r="B184" s="3"/>
      <c r="C184" s="2"/>
      <c r="E184" s="3" t="s">
        <v>1</v>
      </c>
    </row>
    <row r="185" spans="2:6" ht="21" x14ac:dyDescent="0.4">
      <c r="B185" s="4" t="s">
        <v>1</v>
      </c>
      <c r="C185" s="5">
        <v>800000</v>
      </c>
      <c r="E185" s="5">
        <f>C185/25</f>
        <v>32000</v>
      </c>
    </row>
    <row r="186" spans="2:6" ht="21" x14ac:dyDescent="0.4">
      <c r="B186" s="4" t="s">
        <v>5</v>
      </c>
      <c r="C186" s="5">
        <v>10000</v>
      </c>
      <c r="E186" s="5">
        <f>C186</f>
        <v>10000</v>
      </c>
    </row>
    <row r="187" spans="2:6" ht="21" x14ac:dyDescent="0.4">
      <c r="B187" s="4" t="s">
        <v>4</v>
      </c>
      <c r="C187" s="5"/>
      <c r="E187" s="5"/>
    </row>
    <row r="188" spans="2:6" ht="21" x14ac:dyDescent="0.4">
      <c r="B188" s="4" t="s">
        <v>12</v>
      </c>
      <c r="C188" s="5"/>
      <c r="E188" s="5"/>
    </row>
    <row r="189" spans="2:6" ht="21" x14ac:dyDescent="0.4">
      <c r="B189" s="4" t="s">
        <v>2</v>
      </c>
      <c r="C189" s="5">
        <v>300000</v>
      </c>
      <c r="E189" s="5">
        <f>C189/25</f>
        <v>12000</v>
      </c>
    </row>
    <row r="190" spans="2:6" ht="21" x14ac:dyDescent="0.4">
      <c r="B190" s="3" t="s">
        <v>6</v>
      </c>
      <c r="C190" s="2"/>
      <c r="E190" s="11">
        <f>E191*10%</f>
        <v>5400</v>
      </c>
    </row>
    <row r="191" spans="2:6" ht="21.6" thickBot="1" x14ac:dyDescent="0.45">
      <c r="B191" s="3" t="s">
        <v>7</v>
      </c>
      <c r="C191" s="2"/>
      <c r="E191" s="12">
        <f>E185+E186+E189</f>
        <v>54000</v>
      </c>
    </row>
    <row r="192" spans="2:6" ht="21.6" thickTop="1" x14ac:dyDescent="0.4">
      <c r="B192" s="3" t="s">
        <v>8</v>
      </c>
      <c r="C192" s="2"/>
      <c r="E192" s="14">
        <f>E191+E190</f>
        <v>59400</v>
      </c>
    </row>
    <row r="193" spans="2:5" ht="21" x14ac:dyDescent="0.4">
      <c r="B193" s="3" t="s">
        <v>9</v>
      </c>
      <c r="C193" s="2"/>
      <c r="E193" s="17">
        <f>E192/3500</f>
        <v>16.971428571428572</v>
      </c>
    </row>
  </sheetData>
  <mergeCells count="12">
    <mergeCell ref="H106:I106"/>
    <mergeCell ref="H108:I108"/>
    <mergeCell ref="B153:E153"/>
    <mergeCell ref="B167:E167"/>
    <mergeCell ref="B2:E2"/>
    <mergeCell ref="B99:E99"/>
    <mergeCell ref="B71:E71"/>
    <mergeCell ref="B57:E57"/>
    <mergeCell ref="H10:I10"/>
    <mergeCell ref="H5:I5"/>
    <mergeCell ref="H12:I12"/>
    <mergeCell ref="H101:I10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5AC0A-CC54-44BD-BD3B-C78DA01C4D10}">
  <sheetPr>
    <tabColor theme="4" tint="-0.249977111117893"/>
  </sheetPr>
  <dimension ref="B3:M131"/>
  <sheetViews>
    <sheetView zoomScale="99" zoomScaleNormal="99" workbookViewId="0">
      <selection activeCell="G83" sqref="G83"/>
    </sheetView>
  </sheetViews>
  <sheetFormatPr baseColWidth="10" defaultRowHeight="14.4" x14ac:dyDescent="0.3"/>
  <cols>
    <col min="2" max="2" width="41.5546875" customWidth="1"/>
    <col min="3" max="3" width="15.88671875" bestFit="1" customWidth="1"/>
    <col min="5" max="5" width="18" customWidth="1"/>
    <col min="6" max="6" width="14" bestFit="1" customWidth="1"/>
    <col min="7" max="7" width="17.33203125" customWidth="1"/>
    <col min="9" max="9" width="14.88671875" customWidth="1"/>
    <col min="11" max="11" width="34.88671875" bestFit="1" customWidth="1"/>
    <col min="12" max="12" width="12" bestFit="1" customWidth="1"/>
  </cols>
  <sheetData>
    <row r="3" spans="2:13" x14ac:dyDescent="0.3">
      <c r="B3" s="213" t="s">
        <v>142</v>
      </c>
      <c r="C3" s="213"/>
      <c r="D3" s="213"/>
      <c r="E3" s="213"/>
      <c r="F3" s="213"/>
      <c r="G3" s="213"/>
      <c r="H3" s="213"/>
      <c r="I3" s="115" t="s">
        <v>143</v>
      </c>
    </row>
    <row r="4" spans="2:13" x14ac:dyDescent="0.3">
      <c r="B4" s="108" t="s">
        <v>144</v>
      </c>
      <c r="C4" s="108" t="s">
        <v>145</v>
      </c>
      <c r="D4" s="108" t="s">
        <v>146</v>
      </c>
      <c r="E4" s="108" t="s">
        <v>147</v>
      </c>
      <c r="F4" s="108" t="s">
        <v>148</v>
      </c>
      <c r="G4" s="108" t="s">
        <v>149</v>
      </c>
      <c r="H4" s="108" t="s">
        <v>150</v>
      </c>
      <c r="I4" s="109" t="s">
        <v>151</v>
      </c>
      <c r="J4" s="113"/>
      <c r="K4" s="113"/>
      <c r="L4" s="113"/>
    </row>
    <row r="5" spans="2:13" x14ac:dyDescent="0.3">
      <c r="B5" s="107">
        <v>25</v>
      </c>
      <c r="C5" s="107">
        <v>26</v>
      </c>
      <c r="D5" s="107">
        <v>27</v>
      </c>
      <c r="E5" s="107">
        <v>28</v>
      </c>
      <c r="F5" s="107">
        <v>29</v>
      </c>
      <c r="G5" s="107">
        <v>30</v>
      </c>
      <c r="H5" s="107">
        <v>31</v>
      </c>
      <c r="I5" s="109">
        <v>1</v>
      </c>
      <c r="J5" s="113"/>
      <c r="K5" s="113"/>
      <c r="L5" s="113"/>
    </row>
    <row r="6" spans="2:13" x14ac:dyDescent="0.3">
      <c r="B6" s="110" t="s">
        <v>25</v>
      </c>
      <c r="C6" s="110" t="s">
        <v>25</v>
      </c>
      <c r="D6" s="110" t="s">
        <v>25</v>
      </c>
      <c r="E6" s="110" t="s">
        <v>25</v>
      </c>
      <c r="F6" s="110" t="s">
        <v>152</v>
      </c>
      <c r="G6" s="110" t="s">
        <v>152</v>
      </c>
      <c r="H6" s="110" t="s">
        <v>152</v>
      </c>
      <c r="I6" s="110" t="s">
        <v>152</v>
      </c>
      <c r="J6" s="113"/>
      <c r="K6" s="113"/>
      <c r="L6" s="113"/>
    </row>
    <row r="7" spans="2:13" ht="43.2" x14ac:dyDescent="0.3">
      <c r="B7" s="111" t="s">
        <v>153</v>
      </c>
      <c r="C7" s="112" t="s">
        <v>154</v>
      </c>
      <c r="D7" s="112" t="s">
        <v>155</v>
      </c>
      <c r="E7" s="112" t="s">
        <v>156</v>
      </c>
      <c r="F7" s="111" t="s">
        <v>153</v>
      </c>
      <c r="G7" s="111" t="s">
        <v>157</v>
      </c>
      <c r="H7" s="111" t="s">
        <v>158</v>
      </c>
      <c r="I7" s="111" t="s">
        <v>159</v>
      </c>
      <c r="J7" s="114"/>
      <c r="K7" s="114"/>
      <c r="L7" s="114"/>
    </row>
    <row r="8" spans="2:13" ht="28.8" x14ac:dyDescent="0.3">
      <c r="B8" s="112"/>
      <c r="C8" s="112"/>
      <c r="D8" s="112"/>
      <c r="E8" s="112" t="s">
        <v>160</v>
      </c>
      <c r="F8" s="111" t="s">
        <v>161</v>
      </c>
      <c r="G8" s="112"/>
      <c r="H8" s="112"/>
      <c r="I8" s="112"/>
      <c r="J8" s="114"/>
      <c r="K8" s="114"/>
      <c r="L8" s="114"/>
    </row>
    <row r="10" spans="2:13" ht="21" x14ac:dyDescent="0.4">
      <c r="K10" s="209" t="s">
        <v>25</v>
      </c>
      <c r="L10" s="209"/>
    </row>
    <row r="11" spans="2:13" ht="21.6" thickBot="1" x14ac:dyDescent="0.45">
      <c r="K11" s="18" t="s">
        <v>63</v>
      </c>
      <c r="L11" s="4">
        <v>65</v>
      </c>
      <c r="M11">
        <f>L11*3</f>
        <v>195</v>
      </c>
    </row>
    <row r="12" spans="2:13" ht="24" thickBot="1" x14ac:dyDescent="0.5">
      <c r="B12" s="214" t="s">
        <v>25</v>
      </c>
      <c r="C12" s="215"/>
      <c r="D12" s="215"/>
      <c r="E12" s="215"/>
      <c r="F12" s="216"/>
      <c r="K12" s="18" t="s">
        <v>112</v>
      </c>
      <c r="L12" s="4">
        <v>90</v>
      </c>
      <c r="M12">
        <f t="shared" ref="M12:M20" si="0">L12*3</f>
        <v>270</v>
      </c>
    </row>
    <row r="13" spans="2:13" ht="21" x14ac:dyDescent="0.4">
      <c r="K13" s="18" t="s">
        <v>167</v>
      </c>
      <c r="L13" s="4">
        <v>140</v>
      </c>
      <c r="M13">
        <f t="shared" si="0"/>
        <v>420</v>
      </c>
    </row>
    <row r="14" spans="2:13" ht="21" x14ac:dyDescent="0.4">
      <c r="B14" s="1" t="s">
        <v>0</v>
      </c>
      <c r="C14" s="2"/>
      <c r="E14" s="3"/>
      <c r="F14" s="3"/>
      <c r="K14" s="18" t="s">
        <v>168</v>
      </c>
      <c r="L14" s="4">
        <v>40</v>
      </c>
      <c r="M14">
        <f t="shared" si="0"/>
        <v>120</v>
      </c>
    </row>
    <row r="15" spans="2:13" ht="21" x14ac:dyDescent="0.4">
      <c r="B15" s="3"/>
      <c r="C15" s="2"/>
      <c r="E15" s="3" t="s">
        <v>1</v>
      </c>
      <c r="F15" s="3"/>
      <c r="K15" s="116" t="s">
        <v>162</v>
      </c>
      <c r="L15" s="117">
        <v>84</v>
      </c>
      <c r="M15">
        <f t="shared" si="0"/>
        <v>252</v>
      </c>
    </row>
    <row r="16" spans="2:13" ht="21" x14ac:dyDescent="0.4">
      <c r="B16" s="4" t="s">
        <v>1</v>
      </c>
      <c r="C16" s="5">
        <v>650000</v>
      </c>
      <c r="D16" s="6"/>
      <c r="E16" s="7">
        <f>C16/3</f>
        <v>216666.66666666666</v>
      </c>
      <c r="F16" s="2"/>
      <c r="K16" s="209" t="s">
        <v>114</v>
      </c>
      <c r="L16" s="209"/>
    </row>
    <row r="17" spans="2:13" ht="21" x14ac:dyDescent="0.4">
      <c r="B17" s="4" t="s">
        <v>2</v>
      </c>
      <c r="C17" s="5">
        <v>300000</v>
      </c>
      <c r="D17" s="6"/>
      <c r="E17" s="7">
        <f>C17/3</f>
        <v>100000</v>
      </c>
      <c r="F17" s="2"/>
      <c r="K17" s="18" t="s">
        <v>171</v>
      </c>
      <c r="L17" s="5">
        <v>120</v>
      </c>
      <c r="M17">
        <f t="shared" si="0"/>
        <v>360</v>
      </c>
    </row>
    <row r="18" spans="2:13" ht="21" x14ac:dyDescent="0.4">
      <c r="B18" s="4" t="s">
        <v>3</v>
      </c>
      <c r="C18" s="10">
        <v>30000</v>
      </c>
      <c r="D18" s="6"/>
      <c r="E18" s="7">
        <f>C18</f>
        <v>30000</v>
      </c>
      <c r="F18" s="2"/>
      <c r="G18" s="19">
        <f>C17</f>
        <v>300000</v>
      </c>
      <c r="K18" s="4" t="s">
        <v>169</v>
      </c>
      <c r="L18" s="5">
        <v>130</v>
      </c>
      <c r="M18">
        <f t="shared" si="0"/>
        <v>390</v>
      </c>
    </row>
    <row r="19" spans="2:13" ht="21" x14ac:dyDescent="0.4">
      <c r="B19" s="4" t="s">
        <v>4</v>
      </c>
      <c r="C19" s="5">
        <v>50000</v>
      </c>
      <c r="D19" s="6"/>
      <c r="E19" s="7">
        <f>C19</f>
        <v>50000</v>
      </c>
      <c r="F19" s="2"/>
      <c r="G19" s="19">
        <f>F23*3800</f>
        <v>84000.000000000058</v>
      </c>
      <c r="K19" s="18" t="s">
        <v>170</v>
      </c>
      <c r="L19" s="5">
        <v>130</v>
      </c>
      <c r="M19">
        <f t="shared" si="0"/>
        <v>390</v>
      </c>
    </row>
    <row r="20" spans="2:13" ht="21" x14ac:dyDescent="0.4">
      <c r="B20" s="4" t="s">
        <v>5</v>
      </c>
      <c r="C20" s="5">
        <v>30000</v>
      </c>
      <c r="D20" s="6"/>
      <c r="E20" s="7">
        <f>C20</f>
        <v>30000</v>
      </c>
      <c r="F20" s="2"/>
      <c r="G20" s="19">
        <f>E21</f>
        <v>21333.333333333332</v>
      </c>
      <c r="K20" s="18" t="s">
        <v>63</v>
      </c>
      <c r="L20" s="5">
        <v>56</v>
      </c>
      <c r="M20">
        <f t="shared" si="0"/>
        <v>168</v>
      </c>
    </row>
    <row r="21" spans="2:13" ht="21" x14ac:dyDescent="0.4">
      <c r="B21" s="3" t="s">
        <v>6</v>
      </c>
      <c r="C21" s="2"/>
      <c r="E21" s="11">
        <f>E22*5%</f>
        <v>21333.333333333332</v>
      </c>
      <c r="F21" s="2"/>
      <c r="G21" s="19">
        <f>G18+G19+G20</f>
        <v>405333.33333333337</v>
      </c>
      <c r="L21" s="19">
        <f>L11+L12+L13+L14+L15+L17+L18+L19+L20</f>
        <v>855</v>
      </c>
    </row>
    <row r="22" spans="2:13" ht="21.6" thickBot="1" x14ac:dyDescent="0.45">
      <c r="B22" s="3" t="s">
        <v>7</v>
      </c>
      <c r="C22" s="2"/>
      <c r="E22" s="12">
        <f>E16+E17+E18+E19+E20</f>
        <v>426666.66666666663</v>
      </c>
      <c r="F22" s="13"/>
    </row>
    <row r="23" spans="2:13" ht="21.6" thickTop="1" x14ac:dyDescent="0.4">
      <c r="B23" s="3" t="s">
        <v>8</v>
      </c>
      <c r="C23" s="2"/>
      <c r="E23" s="14">
        <f>E22+E21</f>
        <v>447999.99999999994</v>
      </c>
      <c r="F23" s="14">
        <f>140-E24</f>
        <v>22.105263157894754</v>
      </c>
    </row>
    <row r="24" spans="2:13" ht="21" x14ac:dyDescent="0.4">
      <c r="B24" s="3" t="s">
        <v>9</v>
      </c>
      <c r="C24" s="2"/>
      <c r="E24" s="14">
        <f>E23/3800</f>
        <v>117.89473684210525</v>
      </c>
      <c r="F24" s="14"/>
      <c r="K24" s="209" t="s">
        <v>25</v>
      </c>
      <c r="L24" s="209"/>
    </row>
    <row r="25" spans="2:13" ht="21" x14ac:dyDescent="0.4">
      <c r="B25" s="3"/>
      <c r="C25" s="2"/>
      <c r="E25" s="3"/>
      <c r="F25" s="3"/>
      <c r="K25" s="18" t="s">
        <v>63</v>
      </c>
      <c r="L25" s="4">
        <v>65</v>
      </c>
      <c r="M25">
        <f>L25*3</f>
        <v>195</v>
      </c>
    </row>
    <row r="26" spans="2:13" ht="21" x14ac:dyDescent="0.4">
      <c r="K26" s="18" t="s">
        <v>112</v>
      </c>
      <c r="L26" s="4">
        <v>90</v>
      </c>
      <c r="M26">
        <f t="shared" ref="M26:M34" si="1">L26*3</f>
        <v>270</v>
      </c>
    </row>
    <row r="27" spans="2:13" ht="21" x14ac:dyDescent="0.4">
      <c r="B27" s="15" t="s">
        <v>10</v>
      </c>
      <c r="C27" s="2"/>
      <c r="E27" s="2"/>
      <c r="K27" s="18" t="s">
        <v>167</v>
      </c>
      <c r="L27" s="4">
        <v>140</v>
      </c>
      <c r="M27">
        <f t="shared" si="1"/>
        <v>420</v>
      </c>
    </row>
    <row r="28" spans="2:13" ht="21" x14ac:dyDescent="0.4">
      <c r="B28" s="3"/>
      <c r="C28" s="2"/>
      <c r="E28" s="3" t="s">
        <v>1</v>
      </c>
      <c r="K28" s="18" t="s">
        <v>168</v>
      </c>
      <c r="L28" s="4">
        <v>40</v>
      </c>
      <c r="M28">
        <f t="shared" si="1"/>
        <v>120</v>
      </c>
    </row>
    <row r="29" spans="2:13" ht="21" x14ac:dyDescent="0.4">
      <c r="B29" s="4" t="s">
        <v>1</v>
      </c>
      <c r="C29" s="5">
        <v>500000</v>
      </c>
      <c r="E29" s="5">
        <f>C29/3</f>
        <v>166666.66666666666</v>
      </c>
      <c r="F29" s="2"/>
      <c r="K29" s="116" t="s">
        <v>162</v>
      </c>
      <c r="L29" s="117">
        <v>84</v>
      </c>
      <c r="M29">
        <f t="shared" si="1"/>
        <v>252</v>
      </c>
    </row>
    <row r="30" spans="2:13" ht="21" x14ac:dyDescent="0.4">
      <c r="B30" s="4" t="s">
        <v>5</v>
      </c>
      <c r="C30" s="5">
        <v>10000</v>
      </c>
      <c r="E30" s="5">
        <f>C30</f>
        <v>10000</v>
      </c>
      <c r="F30" s="2"/>
      <c r="K30" s="209" t="s">
        <v>114</v>
      </c>
      <c r="L30" s="209"/>
    </row>
    <row r="31" spans="2:13" ht="21" x14ac:dyDescent="0.4">
      <c r="B31" s="4" t="s">
        <v>2</v>
      </c>
      <c r="C31" s="5">
        <v>100000</v>
      </c>
      <c r="E31" s="5">
        <f>C31/3</f>
        <v>33333.333333333336</v>
      </c>
      <c r="F31" s="2"/>
      <c r="K31" s="18" t="s">
        <v>171</v>
      </c>
      <c r="L31" s="5">
        <v>120</v>
      </c>
      <c r="M31">
        <f t="shared" si="1"/>
        <v>360</v>
      </c>
    </row>
    <row r="32" spans="2:13" ht="21" x14ac:dyDescent="0.4">
      <c r="B32" s="3" t="s">
        <v>6</v>
      </c>
      <c r="C32" s="2"/>
      <c r="E32" s="11">
        <f>E33*10%</f>
        <v>21000</v>
      </c>
      <c r="F32" s="2"/>
      <c r="K32" s="4" t="s">
        <v>169</v>
      </c>
      <c r="L32" s="5">
        <v>130</v>
      </c>
      <c r="M32">
        <f t="shared" si="1"/>
        <v>390</v>
      </c>
    </row>
    <row r="33" spans="2:13" ht="21.6" thickBot="1" x14ac:dyDescent="0.45">
      <c r="B33" s="3" t="s">
        <v>7</v>
      </c>
      <c r="C33" s="2"/>
      <c r="E33" s="12">
        <f>E29+E30+E31</f>
        <v>210000</v>
      </c>
      <c r="F33" s="13"/>
      <c r="K33" s="18" t="s">
        <v>170</v>
      </c>
      <c r="L33" s="5">
        <v>130</v>
      </c>
      <c r="M33">
        <f t="shared" si="1"/>
        <v>390</v>
      </c>
    </row>
    <row r="34" spans="2:13" ht="21.6" thickTop="1" x14ac:dyDescent="0.4">
      <c r="B34" s="3" t="s">
        <v>8</v>
      </c>
      <c r="C34" s="2"/>
      <c r="E34" s="14">
        <f>E33+E32</f>
        <v>231000</v>
      </c>
      <c r="F34" s="14"/>
      <c r="K34" s="18" t="s">
        <v>63</v>
      </c>
      <c r="L34" s="5">
        <v>56</v>
      </c>
      <c r="M34">
        <f t="shared" si="1"/>
        <v>168</v>
      </c>
    </row>
    <row r="35" spans="2:13" ht="21" x14ac:dyDescent="0.4">
      <c r="B35" s="3" t="s">
        <v>9</v>
      </c>
      <c r="C35" s="2"/>
      <c r="E35" s="14">
        <f>E34/3500</f>
        <v>66</v>
      </c>
      <c r="F35" s="14"/>
      <c r="L35" s="19">
        <f>L25+L26+L27+L28+L29+L31+L32+L33+L34</f>
        <v>855</v>
      </c>
    </row>
    <row r="41" spans="2:13" ht="21" x14ac:dyDescent="0.4">
      <c r="B41" s="1" t="s">
        <v>112</v>
      </c>
      <c r="C41" s="2"/>
      <c r="E41" s="2"/>
    </row>
    <row r="42" spans="2:13" ht="21" x14ac:dyDescent="0.4">
      <c r="B42" s="3"/>
      <c r="C42" s="2"/>
      <c r="E42" s="3" t="s">
        <v>1</v>
      </c>
    </row>
    <row r="43" spans="2:13" ht="21" x14ac:dyDescent="0.4">
      <c r="B43" s="4" t="s">
        <v>1</v>
      </c>
      <c r="C43" s="5">
        <v>600000</v>
      </c>
      <c r="D43" s="6"/>
      <c r="E43" s="5">
        <f>C43/3</f>
        <v>200000</v>
      </c>
      <c r="F43" s="2"/>
    </row>
    <row r="44" spans="2:13" ht="21" x14ac:dyDescent="0.4">
      <c r="B44" s="4" t="s">
        <v>2</v>
      </c>
      <c r="C44" s="5">
        <v>300000</v>
      </c>
      <c r="D44" s="6"/>
      <c r="E44" s="5">
        <f>C44/25</f>
        <v>12000</v>
      </c>
      <c r="F44" s="2"/>
    </row>
    <row r="45" spans="2:13" ht="21" x14ac:dyDescent="0.4">
      <c r="B45" s="18" t="s">
        <v>12</v>
      </c>
      <c r="C45" s="5">
        <v>15000</v>
      </c>
      <c r="D45" s="6"/>
      <c r="E45" s="5">
        <f>C45</f>
        <v>15000</v>
      </c>
      <c r="F45" s="2"/>
    </row>
    <row r="46" spans="2:13" ht="21" x14ac:dyDescent="0.4">
      <c r="B46" s="4" t="s">
        <v>4</v>
      </c>
      <c r="C46" s="5"/>
      <c r="D46" s="6"/>
      <c r="E46" s="5">
        <f>C46</f>
        <v>0</v>
      </c>
      <c r="F46" s="2"/>
    </row>
    <row r="47" spans="2:13" ht="21" x14ac:dyDescent="0.4">
      <c r="B47" s="4" t="s">
        <v>5</v>
      </c>
      <c r="C47" s="5">
        <v>25000</v>
      </c>
      <c r="D47" s="6"/>
      <c r="E47" s="5">
        <f>C47</f>
        <v>25000</v>
      </c>
      <c r="F47" s="2"/>
    </row>
    <row r="48" spans="2:13" ht="21" x14ac:dyDescent="0.4">
      <c r="B48" s="3" t="s">
        <v>6</v>
      </c>
      <c r="C48" s="2"/>
      <c r="E48" s="11">
        <f>E49*15%</f>
        <v>37800</v>
      </c>
      <c r="F48" s="2"/>
    </row>
    <row r="49" spans="2:6" ht="21.6" thickBot="1" x14ac:dyDescent="0.45">
      <c r="B49" s="3" t="s">
        <v>7</v>
      </c>
      <c r="C49" s="2"/>
      <c r="E49" s="12">
        <f>E43+E44+E47+E45+E46</f>
        <v>252000</v>
      </c>
      <c r="F49" s="13"/>
    </row>
    <row r="50" spans="2:6" ht="21.6" thickTop="1" x14ac:dyDescent="0.4">
      <c r="B50" s="3" t="s">
        <v>8</v>
      </c>
      <c r="C50" s="2"/>
      <c r="E50" s="14">
        <f>E49+E48</f>
        <v>289800</v>
      </c>
      <c r="F50" s="14"/>
    </row>
    <row r="51" spans="2:6" ht="21" x14ac:dyDescent="0.4">
      <c r="B51" s="3" t="s">
        <v>9</v>
      </c>
      <c r="C51" s="2"/>
      <c r="E51" s="14">
        <f>E50/3500</f>
        <v>82.8</v>
      </c>
      <c r="F51" s="14"/>
    </row>
    <row r="54" spans="2:6" ht="21" x14ac:dyDescent="0.4">
      <c r="B54" s="15" t="s">
        <v>21</v>
      </c>
      <c r="C54" s="2"/>
      <c r="D54">
        <v>0</v>
      </c>
      <c r="E54" s="2"/>
    </row>
    <row r="55" spans="2:6" ht="21" x14ac:dyDescent="0.4">
      <c r="B55" s="3"/>
      <c r="C55" s="2"/>
      <c r="E55" s="3" t="s">
        <v>1</v>
      </c>
    </row>
    <row r="56" spans="2:6" ht="21" x14ac:dyDescent="0.4">
      <c r="B56" s="4" t="s">
        <v>1</v>
      </c>
      <c r="C56" s="5">
        <v>240000</v>
      </c>
      <c r="E56" s="5">
        <f>C56/3</f>
        <v>80000</v>
      </c>
      <c r="F56" s="2"/>
    </row>
    <row r="57" spans="2:6" ht="21" x14ac:dyDescent="0.4">
      <c r="B57" s="4" t="s">
        <v>5</v>
      </c>
      <c r="C57" s="5">
        <v>10000</v>
      </c>
      <c r="E57" s="5">
        <f>C57</f>
        <v>10000</v>
      </c>
      <c r="F57" s="2"/>
    </row>
    <row r="58" spans="2:6" ht="21" x14ac:dyDescent="0.4">
      <c r="B58" s="4" t="s">
        <v>2</v>
      </c>
      <c r="C58" s="5">
        <v>100000</v>
      </c>
      <c r="E58" s="5">
        <f>C58/3</f>
        <v>33333.333333333336</v>
      </c>
      <c r="F58" s="2"/>
    </row>
    <row r="59" spans="2:6" ht="21" x14ac:dyDescent="0.4">
      <c r="B59" s="3" t="s">
        <v>6</v>
      </c>
      <c r="C59" s="2"/>
      <c r="E59" s="11">
        <f>E60*10%</f>
        <v>12333.333333333336</v>
      </c>
      <c r="F59" s="2"/>
    </row>
    <row r="60" spans="2:6" ht="21.6" thickBot="1" x14ac:dyDescent="0.45">
      <c r="B60" s="3" t="s">
        <v>7</v>
      </c>
      <c r="C60" s="2"/>
      <c r="E60" s="12">
        <f>E56+E57+E58</f>
        <v>123333.33333333334</v>
      </c>
      <c r="F60" s="2"/>
    </row>
    <row r="61" spans="2:6" ht="21.6" thickTop="1" x14ac:dyDescent="0.4">
      <c r="B61" s="3" t="s">
        <v>8</v>
      </c>
      <c r="C61" s="2"/>
      <c r="E61" s="14">
        <f>E60+E59</f>
        <v>135666.66666666669</v>
      </c>
      <c r="F61" s="2"/>
    </row>
    <row r="62" spans="2:6" ht="21" x14ac:dyDescent="0.4">
      <c r="B62" s="3" t="s">
        <v>9</v>
      </c>
      <c r="C62" s="2"/>
      <c r="E62" s="14">
        <f>E61/3500</f>
        <v>38.761904761904766</v>
      </c>
      <c r="F62" s="13"/>
    </row>
    <row r="63" spans="2:6" ht="21" x14ac:dyDescent="0.4">
      <c r="F63" s="14"/>
    </row>
    <row r="64" spans="2:6" ht="21" x14ac:dyDescent="0.4">
      <c r="F64" s="14"/>
    </row>
    <row r="66" spans="2:6" ht="21" x14ac:dyDescent="0.4">
      <c r="B66" s="15" t="s">
        <v>162</v>
      </c>
      <c r="C66" s="2"/>
      <c r="D66">
        <v>0</v>
      </c>
      <c r="E66" s="2"/>
    </row>
    <row r="67" spans="2:6" ht="21" x14ac:dyDescent="0.4">
      <c r="B67" s="3"/>
      <c r="C67" s="2"/>
      <c r="E67" s="3" t="s">
        <v>1</v>
      </c>
    </row>
    <row r="68" spans="2:6" ht="21" x14ac:dyDescent="0.4">
      <c r="B68" s="4" t="s">
        <v>1</v>
      </c>
      <c r="C68" s="5">
        <f>60000*5</f>
        <v>300000</v>
      </c>
      <c r="E68" s="5">
        <f>C68/3</f>
        <v>100000</v>
      </c>
      <c r="F68" s="2"/>
    </row>
    <row r="69" spans="2:6" ht="21" x14ac:dyDescent="0.4">
      <c r="B69" s="4" t="s">
        <v>88</v>
      </c>
      <c r="C69" s="5">
        <v>100000</v>
      </c>
      <c r="E69" s="5">
        <f>C69</f>
        <v>100000</v>
      </c>
      <c r="F69" s="2"/>
    </row>
    <row r="70" spans="2:6" ht="21" x14ac:dyDescent="0.4">
      <c r="B70" s="4" t="s">
        <v>2</v>
      </c>
      <c r="C70" s="5">
        <v>200000</v>
      </c>
      <c r="E70" s="5">
        <f>C70/3</f>
        <v>66666.666666666672</v>
      </c>
      <c r="F70" s="2"/>
    </row>
    <row r="71" spans="2:6" ht="21" x14ac:dyDescent="0.4">
      <c r="B71" s="3" t="s">
        <v>6</v>
      </c>
      <c r="C71" s="2"/>
      <c r="E71" s="11">
        <f>E72*10%</f>
        <v>26666.666666666672</v>
      </c>
      <c r="F71" s="2"/>
    </row>
    <row r="72" spans="2:6" ht="21.6" thickBot="1" x14ac:dyDescent="0.45">
      <c r="B72" s="3" t="s">
        <v>7</v>
      </c>
      <c r="C72" s="2"/>
      <c r="E72" s="12">
        <f>E68+E69+E70</f>
        <v>266666.66666666669</v>
      </c>
      <c r="F72" s="13"/>
    </row>
    <row r="73" spans="2:6" ht="21.6" thickTop="1" x14ac:dyDescent="0.4">
      <c r="B73" s="3" t="s">
        <v>8</v>
      </c>
      <c r="C73" s="2"/>
      <c r="E73" s="14">
        <f>E72+E71</f>
        <v>293333.33333333337</v>
      </c>
      <c r="F73" s="14"/>
    </row>
    <row r="74" spans="2:6" ht="21" x14ac:dyDescent="0.4">
      <c r="B74" s="3" t="s">
        <v>9</v>
      </c>
      <c r="C74" s="2"/>
      <c r="E74" s="14">
        <f>E73/3500</f>
        <v>83.809523809523824</v>
      </c>
      <c r="F74" s="14"/>
    </row>
    <row r="77" spans="2:6" ht="15" thickBot="1" x14ac:dyDescent="0.35"/>
    <row r="78" spans="2:6" ht="24" thickBot="1" x14ac:dyDescent="0.5">
      <c r="B78" s="214" t="s">
        <v>152</v>
      </c>
      <c r="C78" s="215"/>
      <c r="D78" s="215"/>
      <c r="E78" s="215"/>
      <c r="F78" s="216"/>
    </row>
    <row r="80" spans="2:6" ht="21" x14ac:dyDescent="0.4">
      <c r="B80" s="1" t="s">
        <v>112</v>
      </c>
      <c r="C80" s="2"/>
      <c r="E80" s="3"/>
      <c r="F80" s="3"/>
    </row>
    <row r="81" spans="2:12" ht="21" x14ac:dyDescent="0.4">
      <c r="B81" s="3"/>
      <c r="C81" s="2"/>
      <c r="E81" s="3" t="s">
        <v>1</v>
      </c>
      <c r="F81" s="3"/>
      <c r="K81" s="209" t="s">
        <v>114</v>
      </c>
      <c r="L81" s="209"/>
    </row>
    <row r="82" spans="2:12" ht="21" x14ac:dyDescent="0.4">
      <c r="B82" s="4" t="s">
        <v>1</v>
      </c>
      <c r="C82" s="5">
        <v>600000</v>
      </c>
      <c r="D82" s="6"/>
      <c r="E82" s="7">
        <f>C82/3</f>
        <v>200000</v>
      </c>
      <c r="F82" s="2"/>
    </row>
    <row r="83" spans="2:12" ht="21" x14ac:dyDescent="0.4">
      <c r="B83" s="4" t="s">
        <v>2</v>
      </c>
      <c r="C83" s="5">
        <v>200000</v>
      </c>
      <c r="D83" s="6"/>
      <c r="E83" s="7">
        <f>C83/3</f>
        <v>66666.666666666672</v>
      </c>
      <c r="F83" s="2"/>
    </row>
    <row r="84" spans="2:12" ht="21" x14ac:dyDescent="0.4">
      <c r="B84" s="4" t="s">
        <v>97</v>
      </c>
      <c r="C84" s="10">
        <v>15000</v>
      </c>
      <c r="D84" s="6"/>
      <c r="E84" s="7">
        <f>C84</f>
        <v>15000</v>
      </c>
      <c r="F84" s="2"/>
    </row>
    <row r="85" spans="2:12" ht="21" x14ac:dyDescent="0.4">
      <c r="B85" s="4" t="s">
        <v>4</v>
      </c>
      <c r="C85" s="5">
        <v>50000</v>
      </c>
      <c r="D85" s="6"/>
      <c r="E85" s="7">
        <f>C85</f>
        <v>50000</v>
      </c>
      <c r="F85" s="2"/>
    </row>
    <row r="86" spans="2:12" ht="21" x14ac:dyDescent="0.4">
      <c r="B86" s="4" t="s">
        <v>5</v>
      </c>
      <c r="C86" s="5">
        <v>30000</v>
      </c>
      <c r="D86" s="6"/>
      <c r="E86" s="7">
        <f>C86</f>
        <v>30000</v>
      </c>
      <c r="F86" s="2"/>
    </row>
    <row r="87" spans="2:12" ht="21" x14ac:dyDescent="0.4">
      <c r="B87" s="3" t="s">
        <v>6</v>
      </c>
      <c r="C87" s="2"/>
      <c r="E87" s="11">
        <f>E88*5%</f>
        <v>18083.333333333336</v>
      </c>
      <c r="F87" s="2">
        <f>E87</f>
        <v>18083.333333333336</v>
      </c>
    </row>
    <row r="88" spans="2:12" ht="21.6" thickBot="1" x14ac:dyDescent="0.45">
      <c r="B88" s="3" t="s">
        <v>7</v>
      </c>
      <c r="C88" s="2"/>
      <c r="E88" s="12">
        <f>E82+E83+E84+E85+E86</f>
        <v>361666.66666666669</v>
      </c>
      <c r="F88" s="13"/>
    </row>
    <row r="89" spans="2:12" ht="21.6" thickTop="1" x14ac:dyDescent="0.4">
      <c r="B89" s="3" t="s">
        <v>8</v>
      </c>
      <c r="C89" s="2"/>
      <c r="E89" s="14">
        <f>E88+E87</f>
        <v>379750</v>
      </c>
      <c r="F89" s="14"/>
    </row>
    <row r="90" spans="2:12" ht="21" x14ac:dyDescent="0.4">
      <c r="B90" s="3" t="s">
        <v>9</v>
      </c>
      <c r="C90" s="2"/>
      <c r="E90" s="14">
        <f>E89/3200</f>
        <v>118.671875</v>
      </c>
      <c r="F90" s="14"/>
    </row>
    <row r="91" spans="2:12" ht="21" x14ac:dyDescent="0.4">
      <c r="B91" s="3"/>
      <c r="C91" s="2"/>
      <c r="E91" s="3"/>
      <c r="F91" s="3"/>
    </row>
    <row r="93" spans="2:12" ht="21" x14ac:dyDescent="0.4">
      <c r="B93" s="15" t="s">
        <v>10</v>
      </c>
      <c r="C93" s="2"/>
      <c r="E93" s="2"/>
    </row>
    <row r="94" spans="2:12" ht="21" x14ac:dyDescent="0.4">
      <c r="B94" s="3"/>
      <c r="C94" s="2"/>
      <c r="E94" s="3" t="s">
        <v>1</v>
      </c>
    </row>
    <row r="95" spans="2:12" ht="21" x14ac:dyDescent="0.4">
      <c r="B95" s="4" t="s">
        <v>1</v>
      </c>
      <c r="C95" s="5">
        <v>300000</v>
      </c>
      <c r="E95" s="5">
        <f>C95/3</f>
        <v>100000</v>
      </c>
      <c r="F95" s="2"/>
    </row>
    <row r="96" spans="2:12" ht="21" x14ac:dyDescent="0.4">
      <c r="B96" s="4" t="s">
        <v>5</v>
      </c>
      <c r="C96" s="5">
        <v>10000</v>
      </c>
      <c r="E96" s="5">
        <f>C96</f>
        <v>10000</v>
      </c>
      <c r="F96" s="2"/>
    </row>
    <row r="97" spans="2:6" ht="21" x14ac:dyDescent="0.4">
      <c r="B97" s="4" t="s">
        <v>2</v>
      </c>
      <c r="C97" s="5">
        <v>200000</v>
      </c>
      <c r="E97" s="5">
        <f>C97/3</f>
        <v>66666.666666666672</v>
      </c>
      <c r="F97" s="2"/>
    </row>
    <row r="98" spans="2:6" ht="21" x14ac:dyDescent="0.4">
      <c r="B98" s="3" t="s">
        <v>6</v>
      </c>
      <c r="C98" s="2"/>
      <c r="E98" s="11">
        <f>E99*10%</f>
        <v>17666.666666666668</v>
      </c>
      <c r="F98" s="2">
        <f>E98</f>
        <v>17666.666666666668</v>
      </c>
    </row>
    <row r="99" spans="2:6" ht="21.6" thickBot="1" x14ac:dyDescent="0.45">
      <c r="B99" s="3" t="s">
        <v>7</v>
      </c>
      <c r="C99" s="2"/>
      <c r="E99" s="12">
        <f>E95+E96+E97</f>
        <v>176666.66666666669</v>
      </c>
      <c r="F99" s="13"/>
    </row>
    <row r="100" spans="2:6" ht="21.6" thickTop="1" x14ac:dyDescent="0.4">
      <c r="B100" s="3" t="s">
        <v>8</v>
      </c>
      <c r="C100" s="2"/>
      <c r="E100" s="14">
        <f>E99+E98</f>
        <v>194333.33333333334</v>
      </c>
      <c r="F100" s="14"/>
    </row>
    <row r="101" spans="2:6" ht="21" x14ac:dyDescent="0.4">
      <c r="B101" s="3" t="s">
        <v>9</v>
      </c>
      <c r="C101" s="2"/>
      <c r="E101" s="14">
        <f>E100/3500</f>
        <v>55.523809523809526</v>
      </c>
      <c r="F101" s="14"/>
    </row>
    <row r="107" spans="2:6" ht="21" x14ac:dyDescent="0.4">
      <c r="B107" s="1" t="s">
        <v>166</v>
      </c>
      <c r="C107" s="2"/>
      <c r="E107" s="2"/>
    </row>
    <row r="108" spans="2:6" ht="21" x14ac:dyDescent="0.4">
      <c r="B108" s="3"/>
      <c r="C108" s="2"/>
      <c r="E108" s="3" t="s">
        <v>1</v>
      </c>
    </row>
    <row r="109" spans="2:6" ht="21" x14ac:dyDescent="0.4">
      <c r="B109" s="4" t="s">
        <v>1</v>
      </c>
      <c r="C109" s="5">
        <v>600000</v>
      </c>
      <c r="D109" s="6"/>
      <c r="E109" s="5">
        <f>C109/3</f>
        <v>200000</v>
      </c>
      <c r="F109" s="2"/>
    </row>
    <row r="110" spans="2:6" ht="21" x14ac:dyDescent="0.4">
      <c r="B110" s="4" t="s">
        <v>2</v>
      </c>
      <c r="C110" s="5">
        <v>200000</v>
      </c>
      <c r="D110" s="6"/>
      <c r="E110" s="5">
        <f>C110/3</f>
        <v>66666.666666666672</v>
      </c>
      <c r="F110" s="2"/>
    </row>
    <row r="111" spans="2:6" ht="21" x14ac:dyDescent="0.4">
      <c r="B111" s="18" t="s">
        <v>165</v>
      </c>
      <c r="C111" s="5">
        <v>15000</v>
      </c>
      <c r="D111" s="6"/>
      <c r="E111" s="5">
        <f>C111</f>
        <v>15000</v>
      </c>
      <c r="F111" s="2"/>
    </row>
    <row r="112" spans="2:6" ht="21" x14ac:dyDescent="0.4">
      <c r="B112" s="4" t="s">
        <v>4</v>
      </c>
      <c r="C112" s="5">
        <v>80000</v>
      </c>
      <c r="D112" s="6"/>
      <c r="E112" s="5">
        <f>C112</f>
        <v>80000</v>
      </c>
      <c r="F112" s="2"/>
    </row>
    <row r="113" spans="2:6" ht="21" x14ac:dyDescent="0.4">
      <c r="B113" s="4" t="s">
        <v>5</v>
      </c>
      <c r="C113" s="5">
        <v>25000</v>
      </c>
      <c r="D113" s="6"/>
      <c r="E113" s="5">
        <f>C113</f>
        <v>25000</v>
      </c>
      <c r="F113" s="2"/>
    </row>
    <row r="114" spans="2:6" ht="21" x14ac:dyDescent="0.4">
      <c r="B114" s="3" t="s">
        <v>6</v>
      </c>
      <c r="C114" s="2"/>
      <c r="E114" s="11">
        <f>E115*15%</f>
        <v>58000</v>
      </c>
      <c r="F114" s="2">
        <f>E114</f>
        <v>58000</v>
      </c>
    </row>
    <row r="115" spans="2:6" ht="21.6" thickBot="1" x14ac:dyDescent="0.45">
      <c r="B115" s="3" t="s">
        <v>7</v>
      </c>
      <c r="C115" s="2"/>
      <c r="E115" s="12">
        <f>E109+E110+E113+E111+E112</f>
        <v>386666.66666666669</v>
      </c>
      <c r="F115" s="13"/>
    </row>
    <row r="116" spans="2:6" ht="21.6" thickTop="1" x14ac:dyDescent="0.4">
      <c r="B116" s="3" t="s">
        <v>8</v>
      </c>
      <c r="C116" s="2"/>
      <c r="E116" s="14">
        <f>E115+E114</f>
        <v>444666.66666666669</v>
      </c>
      <c r="F116" s="14"/>
    </row>
    <row r="117" spans="2:6" ht="21" x14ac:dyDescent="0.4">
      <c r="B117" s="3" t="s">
        <v>9</v>
      </c>
      <c r="C117" s="2"/>
      <c r="E117" s="14">
        <f>E116/3500</f>
        <v>127.04761904761905</v>
      </c>
      <c r="F117" s="14"/>
    </row>
    <row r="120" spans="2:6" ht="21" x14ac:dyDescent="0.4">
      <c r="B120" s="15" t="s">
        <v>163</v>
      </c>
      <c r="C120" s="2"/>
      <c r="D120">
        <v>0</v>
      </c>
      <c r="E120" s="2"/>
    </row>
    <row r="121" spans="2:6" ht="21" x14ac:dyDescent="0.4">
      <c r="B121" s="3"/>
      <c r="C121" s="2"/>
      <c r="E121" s="3" t="s">
        <v>1</v>
      </c>
    </row>
    <row r="122" spans="2:6" ht="21" x14ac:dyDescent="0.4">
      <c r="B122" s="4" t="s">
        <v>1</v>
      </c>
      <c r="C122" s="5">
        <v>900000</v>
      </c>
      <c r="E122" s="5">
        <f>C122/3</f>
        <v>300000</v>
      </c>
      <c r="F122" s="2"/>
    </row>
    <row r="123" spans="2:6" ht="21" x14ac:dyDescent="0.4">
      <c r="B123" s="18" t="s">
        <v>164</v>
      </c>
      <c r="C123" s="5">
        <v>30000</v>
      </c>
      <c r="E123" s="5">
        <f>C123</f>
        <v>30000</v>
      </c>
      <c r="F123" s="2"/>
    </row>
    <row r="124" spans="2:6" ht="21" x14ac:dyDescent="0.4">
      <c r="B124" s="4" t="s">
        <v>5</v>
      </c>
      <c r="C124" s="5">
        <v>20000</v>
      </c>
      <c r="E124" s="5">
        <f>C124</f>
        <v>20000</v>
      </c>
      <c r="F124" s="2"/>
    </row>
    <row r="125" spans="2:6" ht="21" x14ac:dyDescent="0.4">
      <c r="B125" s="4" t="s">
        <v>2</v>
      </c>
      <c r="C125" s="5">
        <v>200000</v>
      </c>
      <c r="E125" s="5">
        <f>C125/3</f>
        <v>66666.666666666672</v>
      </c>
      <c r="F125" s="2"/>
    </row>
    <row r="126" spans="2:6" ht="21" x14ac:dyDescent="0.4">
      <c r="B126" s="3" t="s">
        <v>6</v>
      </c>
      <c r="C126" s="2"/>
      <c r="E126" s="11">
        <f>E127*10%</f>
        <v>38666.666666666672</v>
      </c>
      <c r="F126" s="2">
        <f>E126</f>
        <v>38666.666666666672</v>
      </c>
    </row>
    <row r="127" spans="2:6" ht="21.6" thickBot="1" x14ac:dyDescent="0.45">
      <c r="B127" s="3" t="s">
        <v>7</v>
      </c>
      <c r="C127" s="2"/>
      <c r="E127" s="12">
        <f>E122+E124+E125</f>
        <v>386666.66666666669</v>
      </c>
      <c r="F127" s="2">
        <f>F98+F114+F126+F87+E59+E48+E32+E21</f>
        <v>224883.33333333337</v>
      </c>
    </row>
    <row r="128" spans="2:6" ht="21.6" thickTop="1" x14ac:dyDescent="0.4">
      <c r="B128" s="3" t="s">
        <v>8</v>
      </c>
      <c r="C128" s="2"/>
      <c r="E128" s="14">
        <f>E127+E126</f>
        <v>425333.33333333337</v>
      </c>
      <c r="F128" s="2"/>
    </row>
    <row r="129" spans="2:6" ht="21" x14ac:dyDescent="0.4">
      <c r="B129" s="3" t="s">
        <v>9</v>
      </c>
      <c r="C129" s="2"/>
      <c r="E129" s="14">
        <f>E128/3500</f>
        <v>121.52380952380953</v>
      </c>
      <c r="F129" s="13"/>
    </row>
    <row r="130" spans="2:6" ht="21" x14ac:dyDescent="0.4">
      <c r="F130" s="14"/>
    </row>
    <row r="131" spans="2:6" ht="21" x14ac:dyDescent="0.4">
      <c r="F131" s="14"/>
    </row>
  </sheetData>
  <mergeCells count="8">
    <mergeCell ref="K81:L81"/>
    <mergeCell ref="B3:H3"/>
    <mergeCell ref="B12:F12"/>
    <mergeCell ref="B78:F78"/>
    <mergeCell ref="K10:L10"/>
    <mergeCell ref="K16:L16"/>
    <mergeCell ref="K24:L24"/>
    <mergeCell ref="K30:L3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3C367-297E-47FC-B7D3-0F99F7E9D599}">
  <sheetPr>
    <tabColor theme="4" tint="-0.249977111117893"/>
  </sheetPr>
  <dimension ref="B3:E84"/>
  <sheetViews>
    <sheetView workbookViewId="0">
      <selection activeCell="H16" sqref="H16"/>
    </sheetView>
  </sheetViews>
  <sheetFormatPr baseColWidth="10" defaultRowHeight="14.4" x14ac:dyDescent="0.3"/>
  <cols>
    <col min="2" max="2" width="38.6640625" bestFit="1" customWidth="1"/>
    <col min="3" max="3" width="17.5546875" bestFit="1" customWidth="1"/>
    <col min="5" max="5" width="13.5546875" bestFit="1" customWidth="1"/>
  </cols>
  <sheetData>
    <row r="3" spans="2:5" ht="21" x14ac:dyDescent="0.4">
      <c r="B3" s="211" t="s">
        <v>118</v>
      </c>
      <c r="C3" s="211"/>
      <c r="D3" s="211"/>
      <c r="E3" s="211"/>
    </row>
    <row r="4" spans="2:5" ht="21" x14ac:dyDescent="0.4">
      <c r="B4" s="106"/>
      <c r="C4" s="106"/>
      <c r="D4" s="106"/>
      <c r="E4" s="106"/>
    </row>
    <row r="5" spans="2:5" ht="21" x14ac:dyDescent="0.4">
      <c r="B5" s="106"/>
      <c r="C5" s="106"/>
      <c r="D5" s="106"/>
      <c r="E5" s="106"/>
    </row>
    <row r="6" spans="2:5" ht="21" x14ac:dyDescent="0.4">
      <c r="B6" s="15" t="s">
        <v>38</v>
      </c>
      <c r="C6" s="16">
        <v>30</v>
      </c>
      <c r="E6" s="2"/>
    </row>
    <row r="7" spans="2:5" ht="21" x14ac:dyDescent="0.4">
      <c r="B7" s="3"/>
      <c r="C7" s="2"/>
      <c r="E7" s="3" t="s">
        <v>1</v>
      </c>
    </row>
    <row r="8" spans="2:5" ht="21" x14ac:dyDescent="0.4">
      <c r="B8" s="4" t="s">
        <v>1</v>
      </c>
      <c r="C8" s="5">
        <v>320000</v>
      </c>
      <c r="E8" s="5">
        <f>C8/10</f>
        <v>32000</v>
      </c>
    </row>
    <row r="9" spans="2:5" ht="21" x14ac:dyDescent="0.4">
      <c r="B9" s="4" t="s">
        <v>5</v>
      </c>
      <c r="C9" s="5">
        <v>10000</v>
      </c>
      <c r="E9" s="5">
        <f>C9</f>
        <v>10000</v>
      </c>
    </row>
    <row r="10" spans="2:5" ht="21" x14ac:dyDescent="0.4">
      <c r="B10" s="4" t="s">
        <v>2</v>
      </c>
      <c r="C10" s="5">
        <v>300000</v>
      </c>
      <c r="E10" s="5">
        <f>C10/10</f>
        <v>30000</v>
      </c>
    </row>
    <row r="11" spans="2:5" ht="21" x14ac:dyDescent="0.4">
      <c r="B11" s="3" t="s">
        <v>6</v>
      </c>
      <c r="C11" s="2"/>
      <c r="E11" s="11">
        <f>E12*10%</f>
        <v>7200</v>
      </c>
    </row>
    <row r="12" spans="2:5" ht="21.6" thickBot="1" x14ac:dyDescent="0.45">
      <c r="B12" s="3" t="s">
        <v>7</v>
      </c>
      <c r="C12" s="2"/>
      <c r="E12" s="12">
        <f>E8+E9+E10</f>
        <v>72000</v>
      </c>
    </row>
    <row r="13" spans="2:5" ht="21.6" thickTop="1" x14ac:dyDescent="0.4">
      <c r="B13" s="3" t="s">
        <v>8</v>
      </c>
      <c r="C13" s="2"/>
      <c r="E13" s="14">
        <f>E12+E11</f>
        <v>79200</v>
      </c>
    </row>
    <row r="14" spans="2:5" ht="21" x14ac:dyDescent="0.4">
      <c r="B14" s="3" t="s">
        <v>9</v>
      </c>
      <c r="C14" s="2"/>
      <c r="E14" s="17">
        <f>E13/3500</f>
        <v>22.62857142857143</v>
      </c>
    </row>
    <row r="19" spans="2:5" ht="21" x14ac:dyDescent="0.4">
      <c r="B19" s="1" t="s">
        <v>16</v>
      </c>
      <c r="C19" s="2">
        <v>94</v>
      </c>
      <c r="E19" s="2"/>
    </row>
    <row r="20" spans="2:5" ht="21" x14ac:dyDescent="0.4">
      <c r="B20" s="3"/>
      <c r="C20" s="2"/>
      <c r="E20" s="3" t="s">
        <v>1</v>
      </c>
    </row>
    <row r="21" spans="2:5" ht="21" x14ac:dyDescent="0.4">
      <c r="B21" s="4" t="s">
        <v>1</v>
      </c>
      <c r="C21" s="5">
        <v>600000</v>
      </c>
      <c r="D21" s="6"/>
      <c r="E21" s="5">
        <f>C21/10</f>
        <v>60000</v>
      </c>
    </row>
    <row r="22" spans="2:5" ht="21" x14ac:dyDescent="0.4">
      <c r="B22" s="4" t="s">
        <v>2</v>
      </c>
      <c r="C22" s="5">
        <v>500000</v>
      </c>
      <c r="D22" s="6"/>
      <c r="E22" s="5">
        <f>C22/10</f>
        <v>50000</v>
      </c>
    </row>
    <row r="23" spans="2:5" ht="21" x14ac:dyDescent="0.4">
      <c r="B23" s="18" t="s">
        <v>94</v>
      </c>
      <c r="C23" s="5">
        <v>200000</v>
      </c>
      <c r="D23" s="6"/>
      <c r="E23" s="5">
        <f>C23/10</f>
        <v>20000</v>
      </c>
    </row>
    <row r="24" spans="2:5" ht="21" x14ac:dyDescent="0.4">
      <c r="B24" s="4" t="s">
        <v>13</v>
      </c>
      <c r="C24" s="5">
        <v>35000</v>
      </c>
      <c r="D24" s="6"/>
      <c r="E24" s="5">
        <f>C24</f>
        <v>35000</v>
      </c>
    </row>
    <row r="25" spans="2:5" ht="21" x14ac:dyDescent="0.4">
      <c r="B25" s="4" t="s">
        <v>14</v>
      </c>
      <c r="C25" s="5">
        <v>100000</v>
      </c>
      <c r="D25" s="6"/>
      <c r="E25" s="5">
        <f>C25</f>
        <v>100000</v>
      </c>
    </row>
    <row r="26" spans="2:5" ht="21" x14ac:dyDescent="0.4">
      <c r="B26" s="4" t="s">
        <v>15</v>
      </c>
      <c r="C26" s="5">
        <v>18000</v>
      </c>
      <c r="D26" s="6"/>
      <c r="E26" s="5">
        <f>C26</f>
        <v>18000</v>
      </c>
    </row>
    <row r="27" spans="2:5" ht="21" x14ac:dyDescent="0.4">
      <c r="B27" s="4" t="s">
        <v>122</v>
      </c>
      <c r="C27" s="5">
        <v>30000</v>
      </c>
      <c r="D27" s="6"/>
      <c r="E27" s="5">
        <f>C27</f>
        <v>30000</v>
      </c>
    </row>
    <row r="28" spans="2:5" ht="21" x14ac:dyDescent="0.4">
      <c r="B28" s="3" t="s">
        <v>6</v>
      </c>
      <c r="C28" s="2"/>
      <c r="E28" s="11">
        <f>E29*5%</f>
        <v>15650</v>
      </c>
    </row>
    <row r="29" spans="2:5" ht="21.6" thickBot="1" x14ac:dyDescent="0.45">
      <c r="B29" s="3" t="s">
        <v>7</v>
      </c>
      <c r="C29" s="2"/>
      <c r="E29" s="12">
        <f>E21+E22+E25+E24+E26+E27+E23</f>
        <v>313000</v>
      </c>
    </row>
    <row r="30" spans="2:5" ht="21.6" thickTop="1" x14ac:dyDescent="0.4">
      <c r="B30" s="3" t="s">
        <v>8</v>
      </c>
      <c r="C30" s="2"/>
      <c r="E30" s="14">
        <f>E29+E28</f>
        <v>328650</v>
      </c>
    </row>
    <row r="31" spans="2:5" ht="21" x14ac:dyDescent="0.4">
      <c r="B31" s="3" t="s">
        <v>9</v>
      </c>
      <c r="C31" s="2"/>
      <c r="E31" s="14">
        <f>E30/3500</f>
        <v>93.9</v>
      </c>
    </row>
    <row r="33" spans="2:5" ht="21" x14ac:dyDescent="0.4">
      <c r="B33" s="1" t="s">
        <v>113</v>
      </c>
      <c r="C33" s="2">
        <v>72</v>
      </c>
      <c r="E33" s="2"/>
    </row>
    <row r="34" spans="2:5" ht="21" x14ac:dyDescent="0.4">
      <c r="B34" s="3"/>
      <c r="C34" s="2"/>
      <c r="E34" s="3" t="s">
        <v>1</v>
      </c>
    </row>
    <row r="35" spans="2:5" ht="21" x14ac:dyDescent="0.4">
      <c r="B35" s="4" t="s">
        <v>53</v>
      </c>
      <c r="C35" s="5">
        <v>600000</v>
      </c>
      <c r="D35" s="6"/>
      <c r="E35" s="5">
        <f>C35/10</f>
        <v>60000</v>
      </c>
    </row>
    <row r="36" spans="2:5" ht="21" x14ac:dyDescent="0.4">
      <c r="B36" s="4" t="s">
        <v>2</v>
      </c>
      <c r="C36" s="5">
        <v>400000</v>
      </c>
      <c r="D36" s="6"/>
      <c r="E36" s="5">
        <f>C36/10</f>
        <v>40000</v>
      </c>
    </row>
    <row r="37" spans="2:5" ht="21" x14ac:dyDescent="0.4">
      <c r="B37" s="18" t="s">
        <v>121</v>
      </c>
      <c r="C37" s="5">
        <v>30000</v>
      </c>
      <c r="D37" s="6"/>
      <c r="E37" s="5">
        <f>C37</f>
        <v>30000</v>
      </c>
    </row>
    <row r="38" spans="2:5" ht="21" x14ac:dyDescent="0.4">
      <c r="B38" s="4" t="s">
        <v>4</v>
      </c>
      <c r="C38" s="5">
        <v>70000</v>
      </c>
      <c r="D38" s="6"/>
      <c r="E38" s="5">
        <f>C38</f>
        <v>70000</v>
      </c>
    </row>
    <row r="39" spans="2:5" ht="21" x14ac:dyDescent="0.4">
      <c r="B39" s="4" t="s">
        <v>5</v>
      </c>
      <c r="C39" s="5">
        <v>30000</v>
      </c>
      <c r="D39" s="6"/>
      <c r="E39" s="5">
        <f>C39</f>
        <v>30000</v>
      </c>
    </row>
    <row r="40" spans="2:5" ht="21" x14ac:dyDescent="0.4">
      <c r="B40" s="3" t="s">
        <v>6</v>
      </c>
      <c r="C40" s="2"/>
      <c r="E40" s="11">
        <f>E41*10%</f>
        <v>23000</v>
      </c>
    </row>
    <row r="41" spans="2:5" ht="21.6" thickBot="1" x14ac:dyDescent="0.45">
      <c r="B41" s="3" t="s">
        <v>7</v>
      </c>
      <c r="C41" s="2"/>
      <c r="E41" s="12">
        <f>E35+E36+E38+E39+E37</f>
        <v>230000</v>
      </c>
    </row>
    <row r="42" spans="2:5" ht="21.6" thickTop="1" x14ac:dyDescent="0.4">
      <c r="B42" s="3" t="s">
        <v>8</v>
      </c>
      <c r="C42" s="2"/>
      <c r="E42" s="14">
        <f>E41+E40</f>
        <v>253000</v>
      </c>
    </row>
    <row r="43" spans="2:5" ht="21" x14ac:dyDescent="0.4">
      <c r="B43" s="3" t="s">
        <v>9</v>
      </c>
      <c r="C43" s="2"/>
      <c r="E43" s="14">
        <f>E42/3500</f>
        <v>72.285714285714292</v>
      </c>
    </row>
    <row r="46" spans="2:5" ht="21" x14ac:dyDescent="0.4">
      <c r="B46" s="1" t="s">
        <v>30</v>
      </c>
      <c r="C46" s="2">
        <v>60</v>
      </c>
      <c r="E46" s="2"/>
    </row>
    <row r="47" spans="2:5" ht="21" x14ac:dyDescent="0.4">
      <c r="B47" s="3"/>
      <c r="C47" s="2"/>
      <c r="E47" s="3" t="s">
        <v>1</v>
      </c>
    </row>
    <row r="48" spans="2:5" ht="21" x14ac:dyDescent="0.4">
      <c r="B48" s="4" t="s">
        <v>28</v>
      </c>
      <c r="C48" s="5">
        <v>260000</v>
      </c>
      <c r="D48" s="6"/>
      <c r="E48" s="5">
        <f>C48/25</f>
        <v>10400</v>
      </c>
    </row>
    <row r="49" spans="2:5" ht="21" x14ac:dyDescent="0.4">
      <c r="B49" s="4" t="s">
        <v>2</v>
      </c>
      <c r="C49" s="5">
        <v>200000</v>
      </c>
      <c r="D49" s="6"/>
      <c r="E49" s="5">
        <f>C49/25</f>
        <v>8000</v>
      </c>
    </row>
    <row r="50" spans="2:5" ht="21" x14ac:dyDescent="0.4">
      <c r="B50" s="18" t="s">
        <v>27</v>
      </c>
      <c r="C50" s="5">
        <v>20000</v>
      </c>
      <c r="D50" s="6"/>
      <c r="E50" s="5">
        <f>C50</f>
        <v>20000</v>
      </c>
    </row>
    <row r="51" spans="2:5" ht="21" x14ac:dyDescent="0.4">
      <c r="B51" s="4" t="s">
        <v>98</v>
      </c>
      <c r="C51" s="5">
        <v>150000</v>
      </c>
      <c r="D51" s="6"/>
      <c r="E51" s="5">
        <f>C51</f>
        <v>150000</v>
      </c>
    </row>
    <row r="52" spans="2:5" ht="21" x14ac:dyDescent="0.4">
      <c r="B52" s="4" t="s">
        <v>5</v>
      </c>
      <c r="C52" s="5">
        <v>0</v>
      </c>
      <c r="D52" s="6"/>
      <c r="E52" s="5">
        <f>C52</f>
        <v>0</v>
      </c>
    </row>
    <row r="53" spans="2:5" ht="21" x14ac:dyDescent="0.4">
      <c r="B53" s="3" t="s">
        <v>6</v>
      </c>
      <c r="C53" s="2"/>
      <c r="E53" s="11">
        <f>E54*10%</f>
        <v>18840</v>
      </c>
    </row>
    <row r="54" spans="2:5" ht="21.6" thickBot="1" x14ac:dyDescent="0.45">
      <c r="B54" s="3" t="s">
        <v>7</v>
      </c>
      <c r="C54" s="2"/>
      <c r="E54" s="12">
        <f>E48+E49+E51+E52+E50</f>
        <v>188400</v>
      </c>
    </row>
    <row r="55" spans="2:5" ht="21.6" thickTop="1" x14ac:dyDescent="0.4">
      <c r="B55" s="3" t="s">
        <v>8</v>
      </c>
      <c r="C55" s="2"/>
      <c r="E55" s="14">
        <f>E54+E53</f>
        <v>207240</v>
      </c>
    </row>
    <row r="56" spans="2:5" ht="21" x14ac:dyDescent="0.4">
      <c r="B56" s="3" t="s">
        <v>9</v>
      </c>
      <c r="C56" s="2"/>
      <c r="E56" s="14">
        <f>E55/3500</f>
        <v>59.21142857142857</v>
      </c>
    </row>
    <row r="58" spans="2:5" ht="21" x14ac:dyDescent="0.4">
      <c r="B58" s="210" t="s">
        <v>114</v>
      </c>
      <c r="C58" s="210"/>
      <c r="D58" s="210"/>
      <c r="E58" s="210"/>
    </row>
    <row r="60" spans="2:5" ht="21" x14ac:dyDescent="0.4">
      <c r="B60" s="1" t="s">
        <v>117</v>
      </c>
      <c r="C60" s="2">
        <v>63</v>
      </c>
      <c r="E60" s="2"/>
    </row>
    <row r="61" spans="2:5" ht="21" x14ac:dyDescent="0.4">
      <c r="B61" s="3"/>
      <c r="C61" s="2"/>
      <c r="E61" s="3" t="s">
        <v>1</v>
      </c>
    </row>
    <row r="62" spans="2:5" ht="21" x14ac:dyDescent="0.4">
      <c r="B62" s="4" t="s">
        <v>100</v>
      </c>
      <c r="C62" s="5">
        <v>1300000</v>
      </c>
      <c r="D62" s="6"/>
      <c r="E62" s="5">
        <f>C62/10</f>
        <v>130000</v>
      </c>
    </row>
    <row r="63" spans="2:5" ht="21" x14ac:dyDescent="0.4">
      <c r="B63" s="4" t="s">
        <v>2</v>
      </c>
      <c r="C63" s="5">
        <v>500000</v>
      </c>
      <c r="D63" s="6"/>
      <c r="E63" s="5">
        <f>C63/25</f>
        <v>20000</v>
      </c>
    </row>
    <row r="64" spans="2:5" ht="21" x14ac:dyDescent="0.4">
      <c r="B64" s="18" t="s">
        <v>4</v>
      </c>
      <c r="C64" s="5"/>
      <c r="D64" s="6"/>
      <c r="E64" s="5">
        <f>C64</f>
        <v>0</v>
      </c>
    </row>
    <row r="65" spans="2:5" ht="21" x14ac:dyDescent="0.4">
      <c r="B65" s="4" t="s">
        <v>12</v>
      </c>
      <c r="C65" s="5">
        <v>30000</v>
      </c>
      <c r="D65" s="6"/>
      <c r="E65" s="5">
        <f>C65</f>
        <v>30000</v>
      </c>
    </row>
    <row r="66" spans="2:5" ht="21" x14ac:dyDescent="0.4">
      <c r="B66" s="4" t="s">
        <v>5</v>
      </c>
      <c r="C66" s="5">
        <v>30000</v>
      </c>
      <c r="D66" s="6"/>
      <c r="E66" s="5">
        <f>C66</f>
        <v>30000</v>
      </c>
    </row>
    <row r="67" spans="2:5" ht="21" x14ac:dyDescent="0.4">
      <c r="B67" s="3" t="s">
        <v>6</v>
      </c>
      <c r="C67" s="2"/>
      <c r="E67" s="11">
        <f>E68*5%</f>
        <v>10500</v>
      </c>
    </row>
    <row r="68" spans="2:5" ht="21.6" thickBot="1" x14ac:dyDescent="0.45">
      <c r="B68" s="3" t="s">
        <v>7</v>
      </c>
      <c r="C68" s="2"/>
      <c r="E68" s="12">
        <f>E62+E63+E65+E66+E64</f>
        <v>210000</v>
      </c>
    </row>
    <row r="69" spans="2:5" ht="21.6" thickTop="1" x14ac:dyDescent="0.4">
      <c r="B69" s="3" t="s">
        <v>8</v>
      </c>
      <c r="C69" s="2"/>
      <c r="E69" s="14">
        <f>E68+E67</f>
        <v>220500</v>
      </c>
    </row>
    <row r="70" spans="2:5" ht="21" x14ac:dyDescent="0.4">
      <c r="B70" s="3" t="s">
        <v>9</v>
      </c>
      <c r="C70" s="2"/>
      <c r="E70" s="14">
        <f>E69/3500</f>
        <v>63</v>
      </c>
    </row>
    <row r="74" spans="2:5" ht="21" x14ac:dyDescent="0.4">
      <c r="B74" s="1" t="s">
        <v>26</v>
      </c>
      <c r="C74" s="2">
        <v>120</v>
      </c>
      <c r="E74" s="2"/>
    </row>
    <row r="75" spans="2:5" ht="21" x14ac:dyDescent="0.4">
      <c r="B75" s="3"/>
      <c r="C75" s="2"/>
      <c r="E75" s="3" t="s">
        <v>1</v>
      </c>
    </row>
    <row r="76" spans="2:5" ht="21" x14ac:dyDescent="0.4">
      <c r="B76" s="4" t="s">
        <v>28</v>
      </c>
      <c r="C76" s="5">
        <v>260000</v>
      </c>
      <c r="D76" s="6"/>
      <c r="E76" s="5">
        <f>C76/10</f>
        <v>26000</v>
      </c>
    </row>
    <row r="77" spans="2:5" ht="21" x14ac:dyDescent="0.4">
      <c r="B77" s="4" t="s">
        <v>2</v>
      </c>
      <c r="C77" s="5">
        <v>100000</v>
      </c>
      <c r="D77" s="6"/>
      <c r="E77" s="5">
        <f>C77/10</f>
        <v>10000</v>
      </c>
    </row>
    <row r="78" spans="2:5" ht="21" x14ac:dyDescent="0.4">
      <c r="B78" s="18" t="s">
        <v>27</v>
      </c>
      <c r="C78" s="5">
        <v>26000</v>
      </c>
      <c r="D78" s="6"/>
      <c r="E78" s="5">
        <f>C78</f>
        <v>26000</v>
      </c>
    </row>
    <row r="79" spans="2:5" ht="21" x14ac:dyDescent="0.4">
      <c r="B79" s="4" t="s">
        <v>33</v>
      </c>
      <c r="C79" s="5">
        <v>360000</v>
      </c>
      <c r="D79" s="6"/>
      <c r="E79" s="5">
        <f>C79</f>
        <v>360000</v>
      </c>
    </row>
    <row r="80" spans="2:5" ht="21" x14ac:dyDescent="0.4">
      <c r="B80" s="4" t="s">
        <v>5</v>
      </c>
      <c r="C80" s="5">
        <v>0</v>
      </c>
      <c r="D80" s="6"/>
      <c r="E80" s="5">
        <f>C80</f>
        <v>0</v>
      </c>
    </row>
    <row r="81" spans="2:5" ht="21" x14ac:dyDescent="0.4">
      <c r="B81" s="3" t="s">
        <v>6</v>
      </c>
      <c r="C81" s="2"/>
      <c r="E81" s="11">
        <f>E82*5%</f>
        <v>21100</v>
      </c>
    </row>
    <row r="82" spans="2:5" ht="21.6" thickBot="1" x14ac:dyDescent="0.45">
      <c r="B82" s="3" t="s">
        <v>7</v>
      </c>
      <c r="C82" s="2"/>
      <c r="E82" s="12">
        <f>E76+E78+E79+E80+E77</f>
        <v>422000</v>
      </c>
    </row>
    <row r="83" spans="2:5" ht="21.6" thickTop="1" x14ac:dyDescent="0.4">
      <c r="B83" s="3" t="s">
        <v>8</v>
      </c>
      <c r="C83" s="2"/>
      <c r="E83" s="14">
        <f>E82+E81</f>
        <v>443100</v>
      </c>
    </row>
    <row r="84" spans="2:5" ht="21" x14ac:dyDescent="0.4">
      <c r="B84" s="3" t="s">
        <v>9</v>
      </c>
      <c r="C84" s="2"/>
      <c r="E84" s="14">
        <f>E83/3700</f>
        <v>119.75675675675676</v>
      </c>
    </row>
  </sheetData>
  <mergeCells count="2">
    <mergeCell ref="B3:E3"/>
    <mergeCell ref="B58:E5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0F1EF-DEBD-404F-8B14-F3A478903F74}">
  <sheetPr>
    <tabColor rgb="FFFFC000"/>
  </sheetPr>
  <dimension ref="B3:R67"/>
  <sheetViews>
    <sheetView topLeftCell="G1" workbookViewId="0">
      <selection activeCell="S71" sqref="S71"/>
    </sheetView>
  </sheetViews>
  <sheetFormatPr baseColWidth="10" defaultRowHeight="14.4" x14ac:dyDescent="0.3"/>
  <cols>
    <col min="2" max="2" width="38.6640625" bestFit="1" customWidth="1"/>
    <col min="3" max="3" width="13.5546875" bestFit="1" customWidth="1"/>
    <col min="5" max="5" width="13.5546875" bestFit="1" customWidth="1"/>
    <col min="8" max="8" width="38.6640625" bestFit="1" customWidth="1"/>
    <col min="9" max="9" width="13.5546875" bestFit="1" customWidth="1"/>
    <col min="11" max="11" width="13.5546875" bestFit="1" customWidth="1"/>
    <col min="15" max="15" width="31.6640625" bestFit="1" customWidth="1"/>
  </cols>
  <sheetData>
    <row r="3" spans="2:18" ht="15" thickBot="1" x14ac:dyDescent="0.35"/>
    <row r="4" spans="2:18" ht="21.6" thickBot="1" x14ac:dyDescent="0.45">
      <c r="B4" s="217" t="s">
        <v>172</v>
      </c>
      <c r="C4" s="217"/>
      <c r="D4" s="217"/>
      <c r="E4" s="217"/>
      <c r="H4" s="218" t="s">
        <v>173</v>
      </c>
      <c r="I4" s="218"/>
      <c r="J4" s="218"/>
      <c r="K4" s="218"/>
      <c r="O4" s="190" t="s">
        <v>175</v>
      </c>
      <c r="P4" s="191"/>
    </row>
    <row r="5" spans="2:18" ht="21" x14ac:dyDescent="0.4">
      <c r="O5" s="95" t="s">
        <v>10</v>
      </c>
      <c r="P5" s="120">
        <v>20</v>
      </c>
    </row>
    <row r="6" spans="2:18" ht="21" x14ac:dyDescent="0.4">
      <c r="B6" s="1" t="s">
        <v>16</v>
      </c>
      <c r="C6" s="2">
        <v>94</v>
      </c>
      <c r="E6" s="2"/>
      <c r="H6" s="1" t="s">
        <v>16</v>
      </c>
      <c r="I6" s="2">
        <v>94</v>
      </c>
      <c r="K6" s="2"/>
      <c r="O6" s="121" t="s">
        <v>16</v>
      </c>
      <c r="P6" s="122">
        <v>80</v>
      </c>
    </row>
    <row r="7" spans="2:18" ht="21" x14ac:dyDescent="0.4">
      <c r="B7" s="3"/>
      <c r="C7" s="2"/>
      <c r="E7" s="3" t="s">
        <v>1</v>
      </c>
      <c r="H7" s="3"/>
      <c r="I7" s="2"/>
      <c r="K7" s="3" t="s">
        <v>1</v>
      </c>
      <c r="O7" s="123" t="s">
        <v>34</v>
      </c>
      <c r="P7" s="122">
        <v>165</v>
      </c>
    </row>
    <row r="8" spans="2:18" ht="21" x14ac:dyDescent="0.4">
      <c r="B8" s="4" t="s">
        <v>53</v>
      </c>
      <c r="C8" s="5">
        <v>150000</v>
      </c>
      <c r="D8" s="6"/>
      <c r="E8" s="5">
        <f>C8/3</f>
        <v>50000</v>
      </c>
      <c r="H8" s="4" t="s">
        <v>1</v>
      </c>
      <c r="I8" s="5">
        <v>350000</v>
      </c>
      <c r="J8" s="6"/>
      <c r="K8" s="5">
        <f>I8/5</f>
        <v>70000</v>
      </c>
      <c r="O8" s="123" t="s">
        <v>35</v>
      </c>
      <c r="P8" s="122">
        <v>100</v>
      </c>
    </row>
    <row r="9" spans="2:18" ht="21" x14ac:dyDescent="0.4">
      <c r="B9" s="4" t="s">
        <v>2</v>
      </c>
      <c r="C9" s="5">
        <v>200000</v>
      </c>
      <c r="D9" s="6"/>
      <c r="E9" s="5">
        <f>C9/3</f>
        <v>66666.666666666672</v>
      </c>
      <c r="H9" s="4" t="s">
        <v>2</v>
      </c>
      <c r="I9" s="5">
        <v>200000</v>
      </c>
      <c r="J9" s="6"/>
      <c r="K9" s="5">
        <f>I9/5</f>
        <v>40000</v>
      </c>
      <c r="O9" s="123" t="s">
        <v>36</v>
      </c>
      <c r="P9" s="122">
        <v>130</v>
      </c>
    </row>
    <row r="10" spans="2:18" ht="21" x14ac:dyDescent="0.4">
      <c r="B10" s="18" t="s">
        <v>94</v>
      </c>
      <c r="C10" s="5">
        <v>0</v>
      </c>
      <c r="D10" s="6"/>
      <c r="E10" s="5">
        <f>C10/10</f>
        <v>0</v>
      </c>
      <c r="H10" s="18" t="s">
        <v>94</v>
      </c>
      <c r="I10" s="5">
        <v>0</v>
      </c>
      <c r="J10" s="6"/>
      <c r="K10" s="5">
        <f>I10/5</f>
        <v>0</v>
      </c>
      <c r="O10" s="41" t="s">
        <v>30</v>
      </c>
      <c r="P10" s="122">
        <v>60</v>
      </c>
    </row>
    <row r="11" spans="2:18" ht="21.6" thickBot="1" x14ac:dyDescent="0.45">
      <c r="B11" s="4" t="s">
        <v>13</v>
      </c>
      <c r="C11" s="5">
        <v>14000</v>
      </c>
      <c r="D11" s="6"/>
      <c r="E11" s="5">
        <f>C11</f>
        <v>14000</v>
      </c>
      <c r="H11" s="4" t="s">
        <v>13</v>
      </c>
      <c r="I11" s="5">
        <v>35000</v>
      </c>
      <c r="J11" s="6"/>
      <c r="K11" s="5">
        <f>I11</f>
        <v>35000</v>
      </c>
      <c r="O11" s="124" t="s">
        <v>174</v>
      </c>
      <c r="P11" s="125">
        <v>80</v>
      </c>
    </row>
    <row r="12" spans="2:18" ht="21.6" thickBot="1" x14ac:dyDescent="0.45">
      <c r="B12" s="4" t="s">
        <v>14</v>
      </c>
      <c r="C12" s="5">
        <v>60000</v>
      </c>
      <c r="D12" s="6"/>
      <c r="E12" s="5">
        <f>C12</f>
        <v>60000</v>
      </c>
      <c r="F12" s="3">
        <v>80000</v>
      </c>
      <c r="H12" s="4" t="s">
        <v>14</v>
      </c>
      <c r="I12" s="5">
        <v>0</v>
      </c>
      <c r="J12" s="6"/>
      <c r="K12" s="5">
        <f>I12</f>
        <v>0</v>
      </c>
      <c r="L12" s="3">
        <v>80000</v>
      </c>
    </row>
    <row r="13" spans="2:18" ht="21.6" thickBot="1" x14ac:dyDescent="0.45">
      <c r="B13" s="4" t="s">
        <v>15</v>
      </c>
      <c r="C13" s="5">
        <v>8000</v>
      </c>
      <c r="D13" s="6"/>
      <c r="E13" s="5">
        <f>C13</f>
        <v>8000</v>
      </c>
      <c r="F13" s="3"/>
      <c r="H13" s="4" t="s">
        <v>15</v>
      </c>
      <c r="I13" s="5">
        <v>18000</v>
      </c>
      <c r="J13" s="6"/>
      <c r="K13" s="5">
        <f>I13</f>
        <v>18000</v>
      </c>
      <c r="L13" s="3"/>
      <c r="O13" s="190" t="s">
        <v>176</v>
      </c>
      <c r="P13" s="191"/>
      <c r="Q13" s="119" t="s">
        <v>177</v>
      </c>
    </row>
    <row r="14" spans="2:18" ht="21" x14ac:dyDescent="0.4">
      <c r="B14" s="4" t="s">
        <v>122</v>
      </c>
      <c r="C14" s="5">
        <v>20000</v>
      </c>
      <c r="D14" s="6"/>
      <c r="E14" s="5">
        <f>C14</f>
        <v>20000</v>
      </c>
      <c r="F14" s="3"/>
      <c r="H14" s="4" t="s">
        <v>122</v>
      </c>
      <c r="I14" s="5">
        <v>20000</v>
      </c>
      <c r="J14" s="6"/>
      <c r="K14" s="5">
        <f>I14</f>
        <v>20000</v>
      </c>
      <c r="L14" s="3"/>
      <c r="O14" s="126" t="s">
        <v>10</v>
      </c>
      <c r="P14" s="133">
        <v>20</v>
      </c>
      <c r="Q14" s="130">
        <v>10</v>
      </c>
    </row>
    <row r="15" spans="2:18" ht="21" x14ac:dyDescent="0.4">
      <c r="B15" s="3" t="s">
        <v>6</v>
      </c>
      <c r="C15" s="2"/>
      <c r="E15" s="11">
        <f>E16*5%</f>
        <v>10933.333333333336</v>
      </c>
      <c r="F15" s="3"/>
      <c r="H15" s="3" t="s">
        <v>6</v>
      </c>
      <c r="I15" s="2"/>
      <c r="K15" s="11">
        <f>K16*5%</f>
        <v>9150</v>
      </c>
      <c r="L15" s="3"/>
      <c r="O15" s="127" t="s">
        <v>16</v>
      </c>
      <c r="P15" s="134">
        <v>80</v>
      </c>
      <c r="Q15" s="131">
        <v>60</v>
      </c>
    </row>
    <row r="16" spans="2:18" ht="21.6" thickBot="1" x14ac:dyDescent="0.45">
      <c r="B16" s="3" t="s">
        <v>7</v>
      </c>
      <c r="C16" s="2"/>
      <c r="E16" s="12">
        <f>E8+E9+E12+E11+E13+E14+E10</f>
        <v>218666.66666666669</v>
      </c>
      <c r="F16" s="3"/>
      <c r="H16" s="3" t="s">
        <v>7</v>
      </c>
      <c r="I16" s="2"/>
      <c r="K16" s="12">
        <f>K8+K9+K12+K11+K13+K14+K10</f>
        <v>183000</v>
      </c>
      <c r="L16" s="3"/>
      <c r="O16" s="128" t="s">
        <v>174</v>
      </c>
      <c r="P16" s="134">
        <v>85</v>
      </c>
      <c r="Q16" s="131">
        <v>75</v>
      </c>
      <c r="R16" s="118"/>
    </row>
    <row r="17" spans="2:18" ht="21.6" thickTop="1" x14ac:dyDescent="0.4">
      <c r="B17" s="3" t="s">
        <v>8</v>
      </c>
      <c r="C17" s="2"/>
      <c r="E17" s="14">
        <f>E16+E15</f>
        <v>229600.00000000003</v>
      </c>
      <c r="F17" s="3"/>
      <c r="H17" s="3" t="s">
        <v>8</v>
      </c>
      <c r="I17" s="2"/>
      <c r="K17" s="14">
        <f>K16+K15</f>
        <v>192150</v>
      </c>
      <c r="L17" s="3"/>
      <c r="O17" s="128" t="s">
        <v>35</v>
      </c>
      <c r="P17" s="134">
        <v>100</v>
      </c>
      <c r="Q17" s="131">
        <v>90</v>
      </c>
    </row>
    <row r="18" spans="2:18" ht="21" x14ac:dyDescent="0.4">
      <c r="B18" s="3" t="s">
        <v>9</v>
      </c>
      <c r="C18" s="2"/>
      <c r="E18" s="14">
        <f>E17/3500</f>
        <v>65.600000000000009</v>
      </c>
      <c r="F18" s="3">
        <v>81</v>
      </c>
      <c r="H18" s="3" t="s">
        <v>9</v>
      </c>
      <c r="I18" s="2"/>
      <c r="K18" s="14">
        <f>K17/3500</f>
        <v>54.9</v>
      </c>
      <c r="L18" s="3">
        <v>79</v>
      </c>
      <c r="O18" s="128" t="s">
        <v>36</v>
      </c>
      <c r="P18" s="134">
        <v>130</v>
      </c>
      <c r="Q18" s="131">
        <v>120</v>
      </c>
    </row>
    <row r="19" spans="2:18" ht="21.6" thickBot="1" x14ac:dyDescent="0.45">
      <c r="O19" s="129" t="s">
        <v>30</v>
      </c>
      <c r="P19" s="135">
        <v>60</v>
      </c>
      <c r="Q19" s="132">
        <v>30</v>
      </c>
    </row>
    <row r="20" spans="2:18" ht="21" x14ac:dyDescent="0.4">
      <c r="B20" s="1" t="s">
        <v>113</v>
      </c>
      <c r="C20" s="2">
        <v>72</v>
      </c>
      <c r="E20" s="2"/>
      <c r="H20" s="1" t="s">
        <v>113</v>
      </c>
      <c r="I20" s="2">
        <v>72</v>
      </c>
      <c r="K20" s="2"/>
      <c r="Q20" s="2"/>
    </row>
    <row r="21" spans="2:18" ht="21" x14ac:dyDescent="0.4">
      <c r="B21" s="3"/>
      <c r="C21" s="2"/>
      <c r="E21" s="3" t="s">
        <v>1</v>
      </c>
      <c r="H21" s="3"/>
      <c r="I21" s="2"/>
      <c r="K21" s="3" t="s">
        <v>1</v>
      </c>
      <c r="R21">
        <f>R22*4000</f>
        <v>880000</v>
      </c>
    </row>
    <row r="22" spans="2:18" ht="21" x14ac:dyDescent="0.4">
      <c r="B22" s="4" t="s">
        <v>53</v>
      </c>
      <c r="C22" s="5">
        <v>350000</v>
      </c>
      <c r="D22" s="6"/>
      <c r="E22" s="5">
        <f>C22/3</f>
        <v>116666.66666666667</v>
      </c>
      <c r="H22" s="4" t="s">
        <v>53</v>
      </c>
      <c r="I22" s="5">
        <v>450000</v>
      </c>
      <c r="J22" s="6"/>
      <c r="K22" s="5">
        <f>I22/5</f>
        <v>90000</v>
      </c>
      <c r="R22">
        <f>80+80+60</f>
        <v>220</v>
      </c>
    </row>
    <row r="23" spans="2:18" ht="21" x14ac:dyDescent="0.4">
      <c r="B23" s="4" t="s">
        <v>2</v>
      </c>
      <c r="C23" s="5">
        <v>200000</v>
      </c>
      <c r="D23" s="6"/>
      <c r="E23" s="5">
        <f>C23/10</f>
        <v>20000</v>
      </c>
      <c r="H23" s="4" t="s">
        <v>2</v>
      </c>
      <c r="I23" s="5">
        <v>200000</v>
      </c>
      <c r="J23" s="6"/>
      <c r="K23" s="5">
        <f>I23/5</f>
        <v>40000</v>
      </c>
      <c r="R23">
        <f>300000+99000+42000+210000</f>
        <v>651000</v>
      </c>
    </row>
    <row r="24" spans="2:18" ht="21" x14ac:dyDescent="0.4">
      <c r="B24" s="18" t="s">
        <v>121</v>
      </c>
      <c r="C24" s="5">
        <v>0</v>
      </c>
      <c r="D24" s="6"/>
      <c r="E24" s="5">
        <f>C24</f>
        <v>0</v>
      </c>
      <c r="H24" s="18" t="s">
        <v>121</v>
      </c>
      <c r="I24" s="5">
        <v>30000</v>
      </c>
      <c r="J24" s="6"/>
      <c r="K24" s="5">
        <f>I24</f>
        <v>30000</v>
      </c>
      <c r="R24" s="138">
        <f>R21-R23</f>
        <v>229000</v>
      </c>
    </row>
    <row r="25" spans="2:18" ht="21" x14ac:dyDescent="0.4">
      <c r="B25" s="4" t="s">
        <v>4</v>
      </c>
      <c r="C25" s="5">
        <v>70000</v>
      </c>
      <c r="D25" s="6"/>
      <c r="E25" s="5">
        <f>C25</f>
        <v>70000</v>
      </c>
      <c r="H25" s="4" t="s">
        <v>4</v>
      </c>
      <c r="I25" s="5">
        <v>70000</v>
      </c>
      <c r="J25" s="6"/>
      <c r="K25" s="5">
        <f>I25</f>
        <v>70000</v>
      </c>
    </row>
    <row r="26" spans="2:18" ht="21" x14ac:dyDescent="0.4">
      <c r="B26" s="4" t="s">
        <v>5</v>
      </c>
      <c r="C26" s="5">
        <v>30000</v>
      </c>
      <c r="D26" s="6"/>
      <c r="E26" s="5">
        <f>C26</f>
        <v>30000</v>
      </c>
      <c r="H26" s="4" t="s">
        <v>5</v>
      </c>
      <c r="I26" s="5">
        <v>30000</v>
      </c>
      <c r="J26" s="6"/>
      <c r="K26" s="5">
        <f>I26</f>
        <v>30000</v>
      </c>
    </row>
    <row r="27" spans="2:18" ht="21" x14ac:dyDescent="0.4">
      <c r="B27" s="3" t="s">
        <v>6</v>
      </c>
      <c r="C27" s="2"/>
      <c r="E27" s="11">
        <f>E28*10%</f>
        <v>23666.666666666672</v>
      </c>
      <c r="H27" s="3" t="s">
        <v>6</v>
      </c>
      <c r="I27" s="2"/>
      <c r="K27" s="11">
        <f>K28*10%</f>
        <v>26000</v>
      </c>
    </row>
    <row r="28" spans="2:18" ht="21.6" thickBot="1" x14ac:dyDescent="0.45">
      <c r="B28" s="3" t="s">
        <v>7</v>
      </c>
      <c r="C28" s="2"/>
      <c r="E28" s="12">
        <f>E22+E23+E25+E26+E24</f>
        <v>236666.66666666669</v>
      </c>
      <c r="H28" s="3" t="s">
        <v>7</v>
      </c>
      <c r="I28" s="2"/>
      <c r="K28" s="12">
        <f>K22+K23+K25+K26+K24</f>
        <v>260000</v>
      </c>
    </row>
    <row r="29" spans="2:18" ht="21.6" thickTop="1" x14ac:dyDescent="0.4">
      <c r="B29" s="3" t="s">
        <v>8</v>
      </c>
      <c r="C29" s="2"/>
      <c r="E29" s="14">
        <f>E28+E27</f>
        <v>260333.33333333337</v>
      </c>
      <c r="H29" s="3" t="s">
        <v>8</v>
      </c>
      <c r="I29" s="2"/>
      <c r="K29" s="14">
        <f>K28+K27</f>
        <v>286000</v>
      </c>
    </row>
    <row r="30" spans="2:18" ht="21" x14ac:dyDescent="0.4">
      <c r="B30" s="3" t="s">
        <v>9</v>
      </c>
      <c r="C30" s="2"/>
      <c r="E30" s="14">
        <f>E29/3500</f>
        <v>74.380952380952394</v>
      </c>
      <c r="H30" s="3" t="s">
        <v>9</v>
      </c>
      <c r="I30" s="2"/>
      <c r="K30" s="14">
        <f>K29/3500</f>
        <v>81.714285714285708</v>
      </c>
    </row>
    <row r="33" spans="2:13" ht="21" x14ac:dyDescent="0.4">
      <c r="B33" s="1" t="s">
        <v>30</v>
      </c>
      <c r="C33" s="2">
        <v>60</v>
      </c>
      <c r="E33" s="2"/>
      <c r="H33" s="1" t="s">
        <v>30</v>
      </c>
      <c r="I33" s="2">
        <v>60</v>
      </c>
      <c r="K33" s="2"/>
    </row>
    <row r="34" spans="2:13" ht="21" x14ac:dyDescent="0.4">
      <c r="B34" s="3"/>
      <c r="C34" s="2"/>
      <c r="E34" s="3" t="s">
        <v>1</v>
      </c>
      <c r="H34" s="3"/>
      <c r="I34" s="2"/>
      <c r="K34" s="3" t="s">
        <v>1</v>
      </c>
    </row>
    <row r="35" spans="2:13" ht="21" x14ac:dyDescent="0.4">
      <c r="B35" s="4" t="s">
        <v>28</v>
      </c>
      <c r="C35" s="5">
        <v>50000</v>
      </c>
      <c r="D35" s="6"/>
      <c r="E35" s="5">
        <f>C35/3</f>
        <v>16666.666666666668</v>
      </c>
      <c r="H35" s="4" t="s">
        <v>28</v>
      </c>
      <c r="I35" s="5">
        <v>160000</v>
      </c>
      <c r="J35" s="6"/>
      <c r="K35" s="5">
        <f>I35/5</f>
        <v>32000</v>
      </c>
      <c r="M35">
        <f>60+60+30</f>
        <v>150</v>
      </c>
    </row>
    <row r="36" spans="2:13" ht="21" x14ac:dyDescent="0.4">
      <c r="B36" s="4" t="s">
        <v>2</v>
      </c>
      <c r="C36" s="5">
        <v>100000</v>
      </c>
      <c r="D36" s="6"/>
      <c r="E36" s="5">
        <f>C36/3</f>
        <v>33333.333333333336</v>
      </c>
      <c r="H36" s="4" t="s">
        <v>2</v>
      </c>
      <c r="I36" s="5">
        <v>100000</v>
      </c>
      <c r="J36" s="6"/>
      <c r="K36" s="5">
        <f>I36/5</f>
        <v>20000</v>
      </c>
      <c r="M36">
        <f>M35*4000</f>
        <v>600000</v>
      </c>
    </row>
    <row r="37" spans="2:13" ht="21" x14ac:dyDescent="0.4">
      <c r="B37" s="18" t="s">
        <v>27</v>
      </c>
      <c r="C37" s="5">
        <v>20000</v>
      </c>
      <c r="D37" s="6"/>
      <c r="E37" s="5">
        <f>C37</f>
        <v>20000</v>
      </c>
      <c r="H37" s="18" t="s">
        <v>27</v>
      </c>
      <c r="I37" s="5">
        <v>20000</v>
      </c>
      <c r="J37" s="6"/>
      <c r="K37" s="5">
        <f>I37</f>
        <v>20000</v>
      </c>
      <c r="M37">
        <f>330000</f>
        <v>330000</v>
      </c>
    </row>
    <row r="38" spans="2:13" ht="21" x14ac:dyDescent="0.4">
      <c r="B38" s="4" t="s">
        <v>98</v>
      </c>
      <c r="C38" s="5">
        <v>50000</v>
      </c>
      <c r="D38" s="6"/>
      <c r="E38" s="5">
        <f>C38</f>
        <v>50000</v>
      </c>
      <c r="H38" s="4" t="s">
        <v>98</v>
      </c>
      <c r="I38" s="5">
        <v>110000</v>
      </c>
      <c r="J38" s="6"/>
      <c r="K38" s="5">
        <f>I38</f>
        <v>110000</v>
      </c>
      <c r="M38" s="138">
        <f>M36-M37</f>
        <v>270000</v>
      </c>
    </row>
    <row r="39" spans="2:13" ht="21" x14ac:dyDescent="0.4">
      <c r="B39" s="4" t="s">
        <v>5</v>
      </c>
      <c r="C39" s="5">
        <v>0</v>
      </c>
      <c r="D39" s="6"/>
      <c r="E39" s="5">
        <f>C39</f>
        <v>0</v>
      </c>
      <c r="H39" s="4" t="s">
        <v>5</v>
      </c>
      <c r="I39" s="5">
        <v>0</v>
      </c>
      <c r="J39" s="6"/>
      <c r="K39" s="5">
        <f>I39</f>
        <v>0</v>
      </c>
    </row>
    <row r="40" spans="2:13" ht="21" x14ac:dyDescent="0.4">
      <c r="B40" s="3" t="s">
        <v>6</v>
      </c>
      <c r="C40" s="2"/>
      <c r="E40" s="11">
        <f>E41*10%</f>
        <v>12000</v>
      </c>
      <c r="H40" s="3" t="s">
        <v>6</v>
      </c>
      <c r="I40" s="2"/>
      <c r="K40" s="11">
        <f>K41*10%</f>
        <v>18200</v>
      </c>
    </row>
    <row r="41" spans="2:13" ht="21.6" thickBot="1" x14ac:dyDescent="0.45">
      <c r="B41" s="3" t="s">
        <v>7</v>
      </c>
      <c r="C41" s="2"/>
      <c r="E41" s="12">
        <f>E35+E36+E38+E39+E37</f>
        <v>120000</v>
      </c>
      <c r="H41" s="3" t="s">
        <v>7</v>
      </c>
      <c r="I41" s="2"/>
      <c r="K41" s="12">
        <f>K35+K36+K38+K39+K37</f>
        <v>182000</v>
      </c>
    </row>
    <row r="42" spans="2:13" ht="21.6" thickTop="1" x14ac:dyDescent="0.4">
      <c r="B42" s="3" t="s">
        <v>8</v>
      </c>
      <c r="C42" s="2"/>
      <c r="E42" s="14">
        <f>E41+E40</f>
        <v>132000</v>
      </c>
      <c r="H42" s="3" t="s">
        <v>8</v>
      </c>
      <c r="I42" s="2"/>
      <c r="K42" s="14">
        <f>K41+K40</f>
        <v>200200</v>
      </c>
    </row>
    <row r="43" spans="2:13" ht="21" x14ac:dyDescent="0.4">
      <c r="B43" s="3" t="s">
        <v>9</v>
      </c>
      <c r="C43" s="2"/>
      <c r="E43" s="14">
        <f>E42/3500</f>
        <v>37.714285714285715</v>
      </c>
      <c r="H43" s="3" t="s">
        <v>9</v>
      </c>
      <c r="I43" s="2"/>
      <c r="K43" s="14">
        <f>K42/3500</f>
        <v>57.2</v>
      </c>
    </row>
    <row r="46" spans="2:13" ht="21" x14ac:dyDescent="0.4">
      <c r="B46" s="15" t="s">
        <v>38</v>
      </c>
      <c r="C46" s="16">
        <v>20</v>
      </c>
      <c r="E46" s="2"/>
      <c r="H46" s="15" t="s">
        <v>38</v>
      </c>
      <c r="I46" s="16">
        <v>20</v>
      </c>
      <c r="K46" s="2"/>
    </row>
    <row r="47" spans="2:13" ht="21" x14ac:dyDescent="0.4">
      <c r="B47" s="3"/>
      <c r="C47" s="2"/>
      <c r="E47" s="3" t="s">
        <v>1</v>
      </c>
      <c r="H47" s="3"/>
      <c r="I47" s="2"/>
      <c r="K47" s="3" t="s">
        <v>1</v>
      </c>
    </row>
    <row r="48" spans="2:13" ht="21" x14ac:dyDescent="0.4">
      <c r="B48" s="4" t="s">
        <v>100</v>
      </c>
      <c r="C48" s="5">
        <v>100000</v>
      </c>
      <c r="E48" s="5">
        <f>C48/3</f>
        <v>33333.333333333336</v>
      </c>
      <c r="H48" s="4" t="s">
        <v>1</v>
      </c>
      <c r="I48" s="5">
        <v>180000</v>
      </c>
      <c r="K48" s="5">
        <f>I48/5</f>
        <v>36000</v>
      </c>
    </row>
    <row r="49" spans="2:14" ht="21" x14ac:dyDescent="0.4">
      <c r="B49" s="4" t="s">
        <v>5</v>
      </c>
      <c r="C49" s="5">
        <v>10000</v>
      </c>
      <c r="E49" s="5">
        <f>C49</f>
        <v>10000</v>
      </c>
      <c r="H49" s="4" t="s">
        <v>5</v>
      </c>
      <c r="I49" s="5">
        <v>10000</v>
      </c>
      <c r="K49" s="5">
        <f>I49</f>
        <v>10000</v>
      </c>
    </row>
    <row r="50" spans="2:14" ht="21" x14ac:dyDescent="0.4">
      <c r="B50" s="4" t="s">
        <v>2</v>
      </c>
      <c r="C50" s="5">
        <v>100000</v>
      </c>
      <c r="E50" s="5">
        <f>C50/3</f>
        <v>33333.333333333336</v>
      </c>
      <c r="H50" s="4" t="s">
        <v>2</v>
      </c>
      <c r="I50" s="5">
        <v>100000</v>
      </c>
      <c r="K50" s="5">
        <f>I50/5</f>
        <v>20000</v>
      </c>
    </row>
    <row r="51" spans="2:14" ht="21" x14ac:dyDescent="0.4">
      <c r="B51" s="3" t="s">
        <v>6</v>
      </c>
      <c r="C51" s="2"/>
      <c r="E51" s="11">
        <f>E52*10%</f>
        <v>7666.6666666666679</v>
      </c>
      <c r="H51" s="3" t="s">
        <v>6</v>
      </c>
      <c r="I51" s="2"/>
      <c r="K51" s="11">
        <f>K52*10%</f>
        <v>6600</v>
      </c>
    </row>
    <row r="52" spans="2:14" ht="21.6" thickBot="1" x14ac:dyDescent="0.45">
      <c r="B52" s="3" t="s">
        <v>7</v>
      </c>
      <c r="C52" s="2"/>
      <c r="E52" s="12">
        <f>E48+E49+E50</f>
        <v>76666.666666666672</v>
      </c>
      <c r="H52" s="3" t="s">
        <v>7</v>
      </c>
      <c r="I52" s="2"/>
      <c r="K52" s="12">
        <f>K48+K49+K50</f>
        <v>66000</v>
      </c>
    </row>
    <row r="53" spans="2:14" ht="21.6" thickTop="1" x14ac:dyDescent="0.4">
      <c r="B53" s="3" t="s">
        <v>8</v>
      </c>
      <c r="C53" s="2"/>
      <c r="E53" s="14">
        <f>E52+E51</f>
        <v>84333.333333333343</v>
      </c>
      <c r="H53" s="3" t="s">
        <v>8</v>
      </c>
      <c r="I53" s="2"/>
      <c r="K53" s="14">
        <f>K52+K51</f>
        <v>72600</v>
      </c>
    </row>
    <row r="54" spans="2:14" ht="21" x14ac:dyDescent="0.4">
      <c r="B54" s="3" t="s">
        <v>9</v>
      </c>
      <c r="C54" s="2"/>
      <c r="E54" s="17">
        <f>E53/3200</f>
        <v>26.354166666666671</v>
      </c>
      <c r="H54" s="3" t="s">
        <v>9</v>
      </c>
      <c r="I54" s="2"/>
      <c r="K54" s="17">
        <f>K53/3200</f>
        <v>22.6875</v>
      </c>
    </row>
    <row r="57" spans="2:14" ht="21" x14ac:dyDescent="0.4">
      <c r="B57" s="1" t="s">
        <v>26</v>
      </c>
      <c r="C57" s="2">
        <v>140</v>
      </c>
      <c r="E57" s="2"/>
      <c r="H57" s="1" t="s">
        <v>26</v>
      </c>
      <c r="I57" s="2">
        <v>140</v>
      </c>
      <c r="K57" s="2"/>
    </row>
    <row r="58" spans="2:14" ht="21" x14ac:dyDescent="0.4">
      <c r="B58" s="3"/>
      <c r="C58" s="2"/>
      <c r="E58" s="3" t="s">
        <v>1</v>
      </c>
      <c r="H58" s="3"/>
      <c r="I58" s="2"/>
      <c r="K58" s="3" t="s">
        <v>1</v>
      </c>
    </row>
    <row r="59" spans="2:14" ht="21" x14ac:dyDescent="0.4">
      <c r="B59" s="4" t="s">
        <v>28</v>
      </c>
      <c r="C59" s="5">
        <v>80000</v>
      </c>
      <c r="D59" s="6"/>
      <c r="E59" s="5">
        <f>C59/2</f>
        <v>40000</v>
      </c>
      <c r="H59" s="4" t="s">
        <v>28</v>
      </c>
      <c r="I59" s="5">
        <v>160000</v>
      </c>
      <c r="J59" s="6"/>
      <c r="K59" s="5">
        <f>I59/5</f>
        <v>32000</v>
      </c>
      <c r="M59" s="19">
        <f>50000</f>
        <v>50000</v>
      </c>
    </row>
    <row r="60" spans="2:14" ht="21" x14ac:dyDescent="0.4">
      <c r="B60" s="4" t="s">
        <v>2</v>
      </c>
      <c r="C60" s="5">
        <v>100000</v>
      </c>
      <c r="D60" s="6"/>
      <c r="E60" s="5">
        <f>C60/25</f>
        <v>4000</v>
      </c>
      <c r="H60" s="4" t="s">
        <v>2</v>
      </c>
      <c r="I60" s="5">
        <v>100000</v>
      </c>
      <c r="J60" s="6"/>
      <c r="K60" s="5">
        <f>I60/5</f>
        <v>20000</v>
      </c>
      <c r="M60" s="19"/>
    </row>
    <row r="61" spans="2:14" ht="21" x14ac:dyDescent="0.4">
      <c r="B61" s="18" t="s">
        <v>27</v>
      </c>
      <c r="C61" s="5">
        <v>30000</v>
      </c>
      <c r="D61" s="6"/>
      <c r="E61" s="5">
        <f>C61</f>
        <v>30000</v>
      </c>
      <c r="H61" s="18" t="s">
        <v>27</v>
      </c>
      <c r="I61" s="5">
        <v>30000</v>
      </c>
      <c r="J61" s="6"/>
      <c r="K61" s="5">
        <f>I61</f>
        <v>30000</v>
      </c>
      <c r="M61" s="19">
        <f>26500*3</f>
        <v>79500</v>
      </c>
    </row>
    <row r="62" spans="2:14" ht="21" x14ac:dyDescent="0.4">
      <c r="B62" s="4" t="s">
        <v>33</v>
      </c>
      <c r="C62" s="5">
        <v>360000</v>
      </c>
      <c r="D62" s="6"/>
      <c r="E62" s="5">
        <f>C62</f>
        <v>360000</v>
      </c>
      <c r="H62" s="4" t="s">
        <v>33</v>
      </c>
      <c r="I62" s="5">
        <v>450000</v>
      </c>
      <c r="J62" s="6"/>
      <c r="K62" s="5">
        <f>I62</f>
        <v>450000</v>
      </c>
      <c r="M62" s="19">
        <v>900000</v>
      </c>
    </row>
    <row r="63" spans="2:14" ht="21" x14ac:dyDescent="0.4">
      <c r="B63" s="4" t="s">
        <v>5</v>
      </c>
      <c r="C63" s="5">
        <v>0</v>
      </c>
      <c r="D63" s="6"/>
      <c r="E63" s="5">
        <f>C63</f>
        <v>0</v>
      </c>
      <c r="H63" s="4" t="s">
        <v>5</v>
      </c>
      <c r="I63" s="5">
        <v>0</v>
      </c>
      <c r="J63" s="6"/>
      <c r="K63" s="5">
        <f>I63</f>
        <v>0</v>
      </c>
      <c r="M63" s="19">
        <f>M59+M61+M62</f>
        <v>1029500</v>
      </c>
      <c r="N63">
        <f>1520000</f>
        <v>1520000</v>
      </c>
    </row>
    <row r="64" spans="2:14" ht="21" x14ac:dyDescent="0.4">
      <c r="B64" s="3" t="s">
        <v>6</v>
      </c>
      <c r="C64" s="2"/>
      <c r="E64" s="11">
        <f>E65*5%</f>
        <v>20200</v>
      </c>
      <c r="H64" s="3" t="s">
        <v>6</v>
      </c>
      <c r="I64" s="2"/>
      <c r="K64" s="11">
        <f>K65*5%</f>
        <v>25100</v>
      </c>
      <c r="N64" s="139">
        <f>N63-M63</f>
        <v>490500</v>
      </c>
    </row>
    <row r="65" spans="2:11" ht="21.6" thickBot="1" x14ac:dyDescent="0.45">
      <c r="B65" s="3" t="s">
        <v>7</v>
      </c>
      <c r="C65" s="2"/>
      <c r="E65" s="12">
        <f>E59+E60+E62+E63</f>
        <v>404000</v>
      </c>
      <c r="H65" s="3" t="s">
        <v>7</v>
      </c>
      <c r="I65" s="2"/>
      <c r="K65" s="12">
        <f>K59+K60+K62+K63</f>
        <v>502000</v>
      </c>
    </row>
    <row r="66" spans="2:11" ht="21.6" thickTop="1" x14ac:dyDescent="0.4">
      <c r="B66" s="3" t="s">
        <v>8</v>
      </c>
      <c r="C66" s="2"/>
      <c r="E66" s="14">
        <f>E65+E64</f>
        <v>424200</v>
      </c>
      <c r="H66" s="3" t="s">
        <v>8</v>
      </c>
      <c r="I66" s="2"/>
      <c r="K66" s="14">
        <f>K65+K64</f>
        <v>527100</v>
      </c>
    </row>
    <row r="67" spans="2:11" ht="21" x14ac:dyDescent="0.4">
      <c r="B67" s="3" t="s">
        <v>9</v>
      </c>
      <c r="C67" s="2"/>
      <c r="E67" s="14">
        <f>E66/3200</f>
        <v>132.5625</v>
      </c>
      <c r="H67" s="3" t="s">
        <v>9</v>
      </c>
      <c r="I67" s="2"/>
      <c r="K67" s="14">
        <f>K66/3200</f>
        <v>164.71875</v>
      </c>
    </row>
  </sheetData>
  <mergeCells count="4">
    <mergeCell ref="B4:E4"/>
    <mergeCell ref="H4:K4"/>
    <mergeCell ref="O4:P4"/>
    <mergeCell ref="O13:P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F18C4-7C00-4896-A665-12932A16E5C8}">
  <sheetPr>
    <tabColor rgb="FFFFC000"/>
  </sheetPr>
  <dimension ref="B4:K92"/>
  <sheetViews>
    <sheetView topLeftCell="A3" workbookViewId="0">
      <selection activeCell="G13" sqref="G13"/>
    </sheetView>
  </sheetViews>
  <sheetFormatPr baseColWidth="10" defaultRowHeight="14.4" x14ac:dyDescent="0.3"/>
  <cols>
    <col min="2" max="2" width="36.21875" bestFit="1" customWidth="1"/>
    <col min="3" max="3" width="15.88671875" bestFit="1" customWidth="1"/>
    <col min="4" max="4" width="13.5546875" bestFit="1" customWidth="1"/>
    <col min="5" max="5" width="12" bestFit="1" customWidth="1"/>
    <col min="7" max="7" width="32.77734375" bestFit="1" customWidth="1"/>
    <col min="8" max="8" width="12.77734375" bestFit="1" customWidth="1"/>
  </cols>
  <sheetData>
    <row r="4" spans="2:11" ht="21.6" thickBot="1" x14ac:dyDescent="0.45">
      <c r="B4" s="1" t="s">
        <v>0</v>
      </c>
      <c r="C4" s="2">
        <v>60</v>
      </c>
      <c r="D4" s="3"/>
    </row>
    <row r="5" spans="2:11" ht="31.8" thickBot="1" x14ac:dyDescent="0.45">
      <c r="B5" s="3"/>
      <c r="C5" s="2"/>
      <c r="D5" s="3" t="s">
        <v>1</v>
      </c>
      <c r="G5" s="80" t="s">
        <v>61</v>
      </c>
      <c r="H5" s="81" t="s">
        <v>62</v>
      </c>
      <c r="I5">
        <v>19</v>
      </c>
    </row>
    <row r="6" spans="2:11" ht="21" x14ac:dyDescent="0.4">
      <c r="B6" s="4" t="s">
        <v>1</v>
      </c>
      <c r="C6" s="5">
        <v>950000</v>
      </c>
      <c r="D6" s="7">
        <f>C6/10</f>
        <v>95000</v>
      </c>
      <c r="G6" s="56" t="s">
        <v>0</v>
      </c>
      <c r="H6" s="79">
        <v>65</v>
      </c>
      <c r="I6">
        <v>850</v>
      </c>
    </row>
    <row r="7" spans="2:11" ht="21" x14ac:dyDescent="0.4">
      <c r="B7" s="4" t="s">
        <v>2</v>
      </c>
      <c r="C7" s="5">
        <v>300000</v>
      </c>
      <c r="D7" s="7">
        <f>C7/12</f>
        <v>25000</v>
      </c>
      <c r="G7" s="41" t="s">
        <v>10</v>
      </c>
      <c r="H7" s="43">
        <v>30</v>
      </c>
      <c r="I7">
        <v>350</v>
      </c>
      <c r="K7">
        <f>220*6</f>
        <v>1320</v>
      </c>
    </row>
    <row r="8" spans="2:11" ht="21" x14ac:dyDescent="0.4">
      <c r="B8" s="4" t="s">
        <v>3</v>
      </c>
      <c r="C8" s="10">
        <v>15000</v>
      </c>
      <c r="D8" s="7">
        <f>C8</f>
        <v>15000</v>
      </c>
      <c r="G8" s="41" t="s">
        <v>11</v>
      </c>
      <c r="H8" s="43">
        <v>50</v>
      </c>
      <c r="I8">
        <v>75</v>
      </c>
      <c r="K8">
        <f>K7-450-360</f>
        <v>510</v>
      </c>
    </row>
    <row r="9" spans="2:11" ht="21.6" thickBot="1" x14ac:dyDescent="0.45">
      <c r="B9" s="4" t="s">
        <v>4</v>
      </c>
      <c r="C9" s="5">
        <v>45000</v>
      </c>
      <c r="D9" s="7">
        <f>C9</f>
        <v>45000</v>
      </c>
      <c r="G9" s="42" t="s">
        <v>21</v>
      </c>
      <c r="H9" s="82">
        <v>25</v>
      </c>
      <c r="K9">
        <f>40*6</f>
        <v>240</v>
      </c>
    </row>
    <row r="10" spans="2:11" ht="21" x14ac:dyDescent="0.4">
      <c r="B10" s="4" t="s">
        <v>5</v>
      </c>
      <c r="C10" s="5">
        <v>30000</v>
      </c>
      <c r="D10" s="7">
        <f>C10</f>
        <v>30000</v>
      </c>
      <c r="G10" s="136" t="s">
        <v>186</v>
      </c>
      <c r="H10" s="5">
        <v>65</v>
      </c>
      <c r="K10">
        <f>120+510+140</f>
        <v>770</v>
      </c>
    </row>
    <row r="11" spans="2:11" ht="21.6" thickBot="1" x14ac:dyDescent="0.45">
      <c r="B11" s="3" t="s">
        <v>6</v>
      </c>
      <c r="C11" s="2"/>
      <c r="D11" s="11">
        <f>D12*5%</f>
        <v>10500</v>
      </c>
      <c r="G11" s="137" t="s">
        <v>68</v>
      </c>
      <c r="H11" s="5">
        <f>SUM(H6:H10)</f>
        <v>235</v>
      </c>
    </row>
    <row r="12" spans="2:11" ht="21.6" thickBot="1" x14ac:dyDescent="0.45">
      <c r="B12" s="3" t="s">
        <v>7</v>
      </c>
      <c r="C12" s="2"/>
      <c r="D12" s="12">
        <f>D6+D7+D8+D9+D10</f>
        <v>210000</v>
      </c>
    </row>
    <row r="13" spans="2:11" ht="21.6" thickTop="1" x14ac:dyDescent="0.4">
      <c r="B13" s="3" t="s">
        <v>8</v>
      </c>
      <c r="C13" s="2"/>
      <c r="D13" s="14">
        <f>D12+D11</f>
        <v>220500</v>
      </c>
    </row>
    <row r="14" spans="2:11" ht="21" x14ac:dyDescent="0.4">
      <c r="B14" s="3" t="s">
        <v>9</v>
      </c>
      <c r="C14" s="2"/>
      <c r="D14" s="14">
        <f>D13/3500</f>
        <v>63</v>
      </c>
      <c r="J14">
        <f>50*6</f>
        <v>300</v>
      </c>
    </row>
    <row r="15" spans="2:11" ht="21" x14ac:dyDescent="0.4">
      <c r="B15" s="3"/>
      <c r="C15" s="2"/>
      <c r="D15" s="3"/>
    </row>
    <row r="17" spans="2:4" ht="21" x14ac:dyDescent="0.4">
      <c r="B17" s="15" t="s">
        <v>10</v>
      </c>
      <c r="C17" s="16">
        <v>40</v>
      </c>
      <c r="D17" s="2"/>
    </row>
    <row r="18" spans="2:4" ht="21" x14ac:dyDescent="0.4">
      <c r="B18" s="3"/>
      <c r="C18" s="2"/>
      <c r="D18" s="3" t="s">
        <v>1</v>
      </c>
    </row>
    <row r="19" spans="2:4" ht="21" x14ac:dyDescent="0.4">
      <c r="B19" s="4" t="s">
        <v>1</v>
      </c>
      <c r="C19" s="5">
        <v>800000</v>
      </c>
      <c r="D19" s="5">
        <f>C19/12</f>
        <v>66666.666666666672</v>
      </c>
    </row>
    <row r="20" spans="2:4" ht="21" x14ac:dyDescent="0.4">
      <c r="B20" s="4" t="s">
        <v>5</v>
      </c>
      <c r="C20" s="5">
        <v>10000</v>
      </c>
      <c r="D20" s="5">
        <f>C20</f>
        <v>10000</v>
      </c>
    </row>
    <row r="21" spans="2:4" ht="21" x14ac:dyDescent="0.4">
      <c r="B21" s="4" t="s">
        <v>2</v>
      </c>
      <c r="C21" s="5">
        <v>150000</v>
      </c>
      <c r="D21" s="5">
        <f>C21/9</f>
        <v>16666.666666666668</v>
      </c>
    </row>
    <row r="22" spans="2:4" ht="21" x14ac:dyDescent="0.4">
      <c r="B22" s="3" t="s">
        <v>6</v>
      </c>
      <c r="C22" s="2"/>
      <c r="D22" s="11">
        <f>D23*10%</f>
        <v>9333.3333333333339</v>
      </c>
    </row>
    <row r="23" spans="2:4" ht="21.6" thickBot="1" x14ac:dyDescent="0.45">
      <c r="B23" s="3" t="s">
        <v>7</v>
      </c>
      <c r="C23" s="2"/>
      <c r="D23" s="12">
        <f>D19+D20+D21</f>
        <v>93333.333333333343</v>
      </c>
    </row>
    <row r="24" spans="2:4" ht="21.6" thickTop="1" x14ac:dyDescent="0.4">
      <c r="B24" s="3" t="s">
        <v>8</v>
      </c>
      <c r="C24" s="2"/>
      <c r="D24" s="14">
        <f>D23+D22</f>
        <v>102666.66666666667</v>
      </c>
    </row>
    <row r="25" spans="2:4" ht="21" x14ac:dyDescent="0.4">
      <c r="B25" s="3" t="s">
        <v>9</v>
      </c>
      <c r="C25" s="2"/>
      <c r="D25" s="17">
        <f>D24/3500</f>
        <v>29.333333333333336</v>
      </c>
    </row>
    <row r="31" spans="2:4" ht="21" x14ac:dyDescent="0.4">
      <c r="B31" s="1" t="s">
        <v>11</v>
      </c>
      <c r="C31" s="2">
        <v>50</v>
      </c>
      <c r="D31" s="2"/>
    </row>
    <row r="32" spans="2:4" ht="21" x14ac:dyDescent="0.4">
      <c r="B32" s="3"/>
      <c r="C32" s="2"/>
      <c r="D32" s="3" t="s">
        <v>1</v>
      </c>
    </row>
    <row r="33" spans="2:4" ht="21" x14ac:dyDescent="0.4">
      <c r="B33" s="4" t="s">
        <v>1</v>
      </c>
      <c r="C33" s="5">
        <f>80000*8</f>
        <v>640000</v>
      </c>
      <c r="D33" s="5">
        <f>C33/10</f>
        <v>64000</v>
      </c>
    </row>
    <row r="34" spans="2:4" ht="21" x14ac:dyDescent="0.4">
      <c r="B34" s="4" t="s">
        <v>2</v>
      </c>
      <c r="C34" s="5">
        <v>300000</v>
      </c>
      <c r="D34" s="5">
        <f>C34/9</f>
        <v>33333.333333333336</v>
      </c>
    </row>
    <row r="35" spans="2:4" ht="21" x14ac:dyDescent="0.4">
      <c r="B35" s="18" t="s">
        <v>12</v>
      </c>
      <c r="C35" s="5">
        <v>10000</v>
      </c>
      <c r="D35" s="5">
        <f>C35</f>
        <v>10000</v>
      </c>
    </row>
    <row r="36" spans="2:4" ht="21" x14ac:dyDescent="0.4">
      <c r="B36" s="4" t="s">
        <v>22</v>
      </c>
      <c r="C36" s="5">
        <v>5000</v>
      </c>
      <c r="D36" s="5">
        <f>C36</f>
        <v>5000</v>
      </c>
    </row>
    <row r="37" spans="2:4" ht="21" x14ac:dyDescent="0.4">
      <c r="B37" s="4" t="s">
        <v>5</v>
      </c>
      <c r="C37" s="5">
        <v>25000</v>
      </c>
      <c r="D37" s="5">
        <f>C37</f>
        <v>25000</v>
      </c>
    </row>
    <row r="38" spans="2:4" ht="21" x14ac:dyDescent="0.4">
      <c r="B38" s="3" t="s">
        <v>6</v>
      </c>
      <c r="C38" s="2"/>
      <c r="D38" s="11">
        <f>D39*15%</f>
        <v>20600</v>
      </c>
    </row>
    <row r="39" spans="2:4" ht="21.6" thickBot="1" x14ac:dyDescent="0.45">
      <c r="B39" s="3" t="s">
        <v>7</v>
      </c>
      <c r="C39" s="2"/>
      <c r="D39" s="12">
        <f>D33+D34+D37+D35+D36</f>
        <v>137333.33333333334</v>
      </c>
    </row>
    <row r="40" spans="2:4" ht="21.6" thickTop="1" x14ac:dyDescent="0.4">
      <c r="B40" s="3" t="s">
        <v>8</v>
      </c>
      <c r="C40" s="2"/>
      <c r="D40" s="14">
        <f>D39+D38</f>
        <v>157933.33333333334</v>
      </c>
    </row>
    <row r="41" spans="2:4" ht="21" x14ac:dyDescent="0.4">
      <c r="B41" s="3" t="s">
        <v>9</v>
      </c>
      <c r="C41" s="2"/>
      <c r="D41" s="14">
        <f>D40/3500</f>
        <v>45.123809523809527</v>
      </c>
    </row>
    <row r="44" spans="2:4" ht="21" x14ac:dyDescent="0.4">
      <c r="B44" s="1" t="s">
        <v>21</v>
      </c>
      <c r="C44" s="2">
        <v>15</v>
      </c>
      <c r="D44" s="2"/>
    </row>
    <row r="45" spans="2:4" ht="21" x14ac:dyDescent="0.4">
      <c r="B45" s="3"/>
      <c r="C45" s="2"/>
      <c r="D45" s="3" t="s">
        <v>1</v>
      </c>
    </row>
    <row r="46" spans="2:4" ht="21" x14ac:dyDescent="0.4">
      <c r="B46" s="4" t="s">
        <v>1</v>
      </c>
      <c r="C46" s="5">
        <f>80000*8</f>
        <v>640000</v>
      </c>
      <c r="D46" s="5">
        <f>C46/10</f>
        <v>64000</v>
      </c>
    </row>
    <row r="47" spans="2:4" ht="21" x14ac:dyDescent="0.4">
      <c r="B47" s="4" t="s">
        <v>2</v>
      </c>
      <c r="C47" s="5">
        <v>200000</v>
      </c>
      <c r="D47" s="5">
        <f>C47/9</f>
        <v>22222.222222222223</v>
      </c>
    </row>
    <row r="48" spans="2:4" ht="21" x14ac:dyDescent="0.4">
      <c r="B48" s="4" t="s">
        <v>5</v>
      </c>
      <c r="C48" s="5">
        <v>0</v>
      </c>
      <c r="D48" s="5">
        <f>C48</f>
        <v>0</v>
      </c>
    </row>
    <row r="49" spans="2:5" ht="21" x14ac:dyDescent="0.4">
      <c r="B49" s="3" t="s">
        <v>6</v>
      </c>
      <c r="C49" s="2"/>
      <c r="D49" s="11">
        <f>D50*15%</f>
        <v>12933.333333333332</v>
      </c>
    </row>
    <row r="50" spans="2:5" ht="21.6" thickBot="1" x14ac:dyDescent="0.45">
      <c r="B50" s="3" t="s">
        <v>7</v>
      </c>
      <c r="C50" s="2"/>
      <c r="D50" s="12">
        <f>D46+D47+D48</f>
        <v>86222.222222222219</v>
      </c>
    </row>
    <row r="51" spans="2:5" ht="21.6" thickTop="1" x14ac:dyDescent="0.4">
      <c r="B51" s="3" t="s">
        <v>8</v>
      </c>
      <c r="C51" s="2"/>
      <c r="D51" s="14">
        <f>D50+D49</f>
        <v>99155.555555555547</v>
      </c>
    </row>
    <row r="52" spans="2:5" ht="21" x14ac:dyDescent="0.4">
      <c r="B52" s="3" t="s">
        <v>9</v>
      </c>
      <c r="C52" s="2"/>
      <c r="D52" s="14">
        <f>D51/3500</f>
        <v>28.330158730158729</v>
      </c>
    </row>
    <row r="56" spans="2:5" ht="21" x14ac:dyDescent="0.4">
      <c r="B56" s="1" t="s">
        <v>180</v>
      </c>
      <c r="C56" s="2">
        <v>60</v>
      </c>
      <c r="D56" s="2"/>
    </row>
    <row r="57" spans="2:5" ht="21" x14ac:dyDescent="0.4">
      <c r="B57" s="3"/>
      <c r="C57" s="2"/>
      <c r="D57" s="3" t="s">
        <v>1</v>
      </c>
    </row>
    <row r="58" spans="2:5" ht="21" x14ac:dyDescent="0.4">
      <c r="B58" s="4" t="s">
        <v>1</v>
      </c>
      <c r="C58" s="5">
        <f>80000*7</f>
        <v>560000</v>
      </c>
      <c r="D58" s="5">
        <f>C58/10</f>
        <v>56000</v>
      </c>
      <c r="E58" s="5">
        <f>C58/12</f>
        <v>46666.666666666664</v>
      </c>
    </row>
    <row r="59" spans="2:5" ht="21" x14ac:dyDescent="0.4">
      <c r="B59" s="4" t="s">
        <v>110</v>
      </c>
      <c r="C59" s="5">
        <v>70000</v>
      </c>
      <c r="D59" s="5">
        <f>C59</f>
        <v>70000</v>
      </c>
      <c r="E59" s="5">
        <f t="shared" ref="E59:E61" si="0">C59/12</f>
        <v>5833.333333333333</v>
      </c>
    </row>
    <row r="60" spans="2:5" ht="21" x14ac:dyDescent="0.4">
      <c r="B60" s="4" t="s">
        <v>2</v>
      </c>
      <c r="C60" s="5">
        <v>300000</v>
      </c>
      <c r="D60" s="5">
        <f>C60/10</f>
        <v>30000</v>
      </c>
      <c r="E60" s="5">
        <f t="shared" si="0"/>
        <v>25000</v>
      </c>
    </row>
    <row r="61" spans="2:5" ht="21" x14ac:dyDescent="0.4">
      <c r="B61" s="4" t="s">
        <v>5</v>
      </c>
      <c r="C61" s="5">
        <v>30000</v>
      </c>
      <c r="D61" s="5">
        <f>C61</f>
        <v>30000</v>
      </c>
      <c r="E61" s="5">
        <f t="shared" si="0"/>
        <v>2500</v>
      </c>
    </row>
    <row r="62" spans="2:5" ht="21" x14ac:dyDescent="0.4">
      <c r="B62" s="3" t="s">
        <v>6</v>
      </c>
      <c r="C62" s="2"/>
      <c r="D62" s="11">
        <f>D63*15%</f>
        <v>27900</v>
      </c>
      <c r="E62" s="11">
        <f>E63*15%</f>
        <v>12000</v>
      </c>
    </row>
    <row r="63" spans="2:5" ht="21.6" thickBot="1" x14ac:dyDescent="0.45">
      <c r="B63" s="3" t="s">
        <v>7</v>
      </c>
      <c r="C63" s="2"/>
      <c r="D63" s="12">
        <f>D58+D60+D61+D59</f>
        <v>186000</v>
      </c>
      <c r="E63" s="19">
        <f>E58+E59+E60+E61</f>
        <v>80000</v>
      </c>
    </row>
    <row r="64" spans="2:5" ht="21.6" thickTop="1" x14ac:dyDescent="0.4">
      <c r="B64" s="3" t="s">
        <v>8</v>
      </c>
      <c r="C64" s="2"/>
      <c r="D64" s="14">
        <f>D63+D62</f>
        <v>213900</v>
      </c>
    </row>
    <row r="65" spans="2:4" ht="21" x14ac:dyDescent="0.4">
      <c r="B65" s="3" t="s">
        <v>9</v>
      </c>
      <c r="C65" s="2"/>
      <c r="D65" s="14">
        <f>D64/3500</f>
        <v>61.114285714285714</v>
      </c>
    </row>
    <row r="68" spans="2:4" ht="21" x14ac:dyDescent="0.4">
      <c r="B68" s="1" t="s">
        <v>178</v>
      </c>
      <c r="C68" s="2">
        <v>110</v>
      </c>
      <c r="D68" s="2"/>
    </row>
    <row r="69" spans="2:4" ht="21" x14ac:dyDescent="0.4">
      <c r="B69" s="3"/>
      <c r="C69" s="2"/>
      <c r="D69" s="3" t="s">
        <v>1</v>
      </c>
    </row>
    <row r="70" spans="2:4" ht="21" x14ac:dyDescent="0.4">
      <c r="B70" s="4" t="s">
        <v>1</v>
      </c>
      <c r="C70" s="5">
        <v>1300000</v>
      </c>
      <c r="D70" s="5">
        <f>C70/10</f>
        <v>130000</v>
      </c>
    </row>
    <row r="71" spans="2:4" ht="21" x14ac:dyDescent="0.4">
      <c r="B71" s="4" t="s">
        <v>2</v>
      </c>
      <c r="C71" s="5">
        <v>300000</v>
      </c>
      <c r="D71" s="5">
        <f>C71/10</f>
        <v>30000</v>
      </c>
    </row>
    <row r="72" spans="2:4" ht="21" x14ac:dyDescent="0.4">
      <c r="B72" s="18" t="s">
        <v>12</v>
      </c>
      <c r="C72" s="5">
        <v>140000</v>
      </c>
      <c r="D72" s="5">
        <f>C72</f>
        <v>140000</v>
      </c>
    </row>
    <row r="73" spans="2:4" ht="21" x14ac:dyDescent="0.4">
      <c r="B73" s="4" t="s">
        <v>184</v>
      </c>
      <c r="C73" s="5">
        <v>30000</v>
      </c>
      <c r="D73" s="5">
        <f>C73</f>
        <v>30000</v>
      </c>
    </row>
    <row r="74" spans="2:4" ht="21" x14ac:dyDescent="0.4">
      <c r="B74" s="4" t="s">
        <v>5</v>
      </c>
      <c r="C74" s="5">
        <v>25000</v>
      </c>
      <c r="D74" s="5">
        <f>C74</f>
        <v>25000</v>
      </c>
    </row>
    <row r="75" spans="2:4" ht="21" x14ac:dyDescent="0.4">
      <c r="B75" s="3" t="s">
        <v>6</v>
      </c>
      <c r="C75" s="2"/>
      <c r="D75" s="11">
        <f>D76*15%</f>
        <v>53250</v>
      </c>
    </row>
    <row r="76" spans="2:4" ht="21.6" thickBot="1" x14ac:dyDescent="0.45">
      <c r="B76" s="3" t="s">
        <v>7</v>
      </c>
      <c r="C76" s="2"/>
      <c r="D76" s="12">
        <f>D70+D71+D74+D72+D73</f>
        <v>355000</v>
      </c>
    </row>
    <row r="77" spans="2:4" ht="21.6" thickTop="1" x14ac:dyDescent="0.4">
      <c r="B77" s="3" t="s">
        <v>8</v>
      </c>
      <c r="C77" s="2"/>
      <c r="D77" s="14">
        <f>D76+D75</f>
        <v>408250</v>
      </c>
    </row>
    <row r="78" spans="2:4" ht="21" x14ac:dyDescent="0.4">
      <c r="B78" s="3" t="s">
        <v>9</v>
      </c>
      <c r="C78" s="2"/>
      <c r="D78" s="14">
        <f>D77/3500</f>
        <v>116.64285714285714</v>
      </c>
    </row>
    <row r="81" spans="2:4" ht="21" x14ac:dyDescent="0.4">
      <c r="B81" s="1" t="s">
        <v>179</v>
      </c>
      <c r="C81" s="2">
        <v>70</v>
      </c>
      <c r="D81" s="2"/>
    </row>
    <row r="82" spans="2:4" ht="21" x14ac:dyDescent="0.4">
      <c r="B82" s="3"/>
      <c r="C82" s="2"/>
      <c r="D82" s="3" t="s">
        <v>1</v>
      </c>
    </row>
    <row r="83" spans="2:4" ht="21" x14ac:dyDescent="0.4">
      <c r="B83" s="4" t="s">
        <v>1</v>
      </c>
      <c r="C83" s="5">
        <v>1200000</v>
      </c>
      <c r="D83" s="5">
        <f>C83/10</f>
        <v>120000</v>
      </c>
    </row>
    <row r="84" spans="2:4" ht="21" x14ac:dyDescent="0.4">
      <c r="B84" s="4" t="s">
        <v>2</v>
      </c>
      <c r="C84" s="5">
        <v>300000</v>
      </c>
      <c r="D84" s="5">
        <f>C84/9</f>
        <v>33333.333333333336</v>
      </c>
    </row>
    <row r="85" spans="2:4" ht="21" x14ac:dyDescent="0.4">
      <c r="B85" s="18" t="s">
        <v>182</v>
      </c>
      <c r="C85" s="5">
        <v>15000</v>
      </c>
      <c r="D85" s="5">
        <f>C85</f>
        <v>15000</v>
      </c>
    </row>
    <row r="86" spans="2:4" ht="21" x14ac:dyDescent="0.4">
      <c r="B86" s="18" t="s">
        <v>185</v>
      </c>
      <c r="C86" s="5">
        <v>70000</v>
      </c>
      <c r="D86" s="5">
        <f>C86</f>
        <v>70000</v>
      </c>
    </row>
    <row r="87" spans="2:4" ht="21" x14ac:dyDescent="0.4">
      <c r="B87" s="4" t="s">
        <v>181</v>
      </c>
      <c r="C87" s="5">
        <v>25000</v>
      </c>
      <c r="D87" s="5">
        <f>C87</f>
        <v>25000</v>
      </c>
    </row>
    <row r="88" spans="2:4" ht="21" x14ac:dyDescent="0.4">
      <c r="B88" s="4" t="s">
        <v>5</v>
      </c>
      <c r="C88" s="5">
        <v>25000</v>
      </c>
      <c r="D88" s="5">
        <f>C88</f>
        <v>25000</v>
      </c>
    </row>
    <row r="89" spans="2:4" ht="21" x14ac:dyDescent="0.4">
      <c r="B89" s="3" t="s">
        <v>6</v>
      </c>
      <c r="C89" s="2"/>
      <c r="D89" s="11">
        <f>D90*15%</f>
        <v>43250.000000000007</v>
      </c>
    </row>
    <row r="90" spans="2:4" ht="21.6" thickBot="1" x14ac:dyDescent="0.45">
      <c r="B90" s="3" t="s">
        <v>7</v>
      </c>
      <c r="C90" s="2"/>
      <c r="D90" s="12">
        <f>D83+D84+D88+D85+D86+D87</f>
        <v>288333.33333333337</v>
      </c>
    </row>
    <row r="91" spans="2:4" ht="21.6" thickTop="1" x14ac:dyDescent="0.4">
      <c r="B91" s="3" t="s">
        <v>8</v>
      </c>
      <c r="C91" s="2"/>
      <c r="D91" s="14">
        <f>D90+D89</f>
        <v>331583.33333333337</v>
      </c>
    </row>
    <row r="92" spans="2:4" ht="21" x14ac:dyDescent="0.4">
      <c r="B92" s="3" t="s">
        <v>9</v>
      </c>
      <c r="C92" s="2"/>
      <c r="D92" s="14">
        <f>D91/3500</f>
        <v>94.738095238095255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DB4E7-F08A-47B1-AED2-7E3646031B7A}">
  <sheetPr>
    <tabColor rgb="FFC00000"/>
  </sheetPr>
  <dimension ref="B1:K91"/>
  <sheetViews>
    <sheetView topLeftCell="A73" workbookViewId="0">
      <selection activeCell="B4" sqref="B4:E94"/>
    </sheetView>
  </sheetViews>
  <sheetFormatPr baseColWidth="10" defaultRowHeight="14.4" x14ac:dyDescent="0.3"/>
  <cols>
    <col min="2" max="2" width="45.109375" customWidth="1"/>
    <col min="3" max="3" width="15.88671875" bestFit="1" customWidth="1"/>
    <col min="5" max="5" width="13.5546875" bestFit="1" customWidth="1"/>
    <col min="9" max="9" width="31.6640625" bestFit="1" customWidth="1"/>
  </cols>
  <sheetData>
    <row r="1" spans="2:11" ht="15" thickBot="1" x14ac:dyDescent="0.35"/>
    <row r="2" spans="2:11" ht="21.6" thickBot="1" x14ac:dyDescent="0.45">
      <c r="B2" s="218" t="s">
        <v>187</v>
      </c>
      <c r="C2" s="218"/>
      <c r="D2" s="218"/>
      <c r="E2" s="218"/>
      <c r="I2" s="190" t="s">
        <v>24</v>
      </c>
      <c r="J2" s="191"/>
    </row>
    <row r="3" spans="2:11" ht="21" x14ac:dyDescent="0.4">
      <c r="I3" s="95" t="s">
        <v>10</v>
      </c>
      <c r="J3" s="120">
        <v>30</v>
      </c>
    </row>
    <row r="4" spans="2:11" ht="21" x14ac:dyDescent="0.4">
      <c r="B4" s="1" t="s">
        <v>16</v>
      </c>
      <c r="C4" s="2">
        <v>94</v>
      </c>
      <c r="E4" s="2"/>
      <c r="I4" s="121" t="s">
        <v>16</v>
      </c>
      <c r="J4" s="122">
        <v>80</v>
      </c>
    </row>
    <row r="5" spans="2:11" ht="21" x14ac:dyDescent="0.4">
      <c r="B5" s="3"/>
      <c r="C5" s="2"/>
      <c r="E5" s="3" t="s">
        <v>1</v>
      </c>
      <c r="I5" s="144" t="s">
        <v>192</v>
      </c>
      <c r="J5" s="122">
        <v>140</v>
      </c>
    </row>
    <row r="6" spans="2:11" ht="21" x14ac:dyDescent="0.4">
      <c r="B6" s="4" t="s">
        <v>1</v>
      </c>
      <c r="C6" s="5">
        <v>600000</v>
      </c>
      <c r="D6" s="6"/>
      <c r="E6" s="5">
        <f>C6/18</f>
        <v>33333.333333333336</v>
      </c>
      <c r="I6" s="144" t="s">
        <v>193</v>
      </c>
      <c r="J6" s="122">
        <v>130</v>
      </c>
    </row>
    <row r="7" spans="2:11" ht="21" x14ac:dyDescent="0.4">
      <c r="B7" s="4" t="s">
        <v>2</v>
      </c>
      <c r="C7" s="5">
        <v>300000</v>
      </c>
      <c r="D7" s="6"/>
      <c r="E7" s="5">
        <f>C7/18</f>
        <v>16666.666666666668</v>
      </c>
      <c r="I7" s="144" t="s">
        <v>194</v>
      </c>
      <c r="J7" s="122">
        <v>220</v>
      </c>
    </row>
    <row r="8" spans="2:11" ht="21" x14ac:dyDescent="0.4">
      <c r="B8" s="18" t="s">
        <v>94</v>
      </c>
      <c r="C8" s="5">
        <v>0</v>
      </c>
      <c r="D8" s="6"/>
      <c r="E8" s="5">
        <f>C8/5</f>
        <v>0</v>
      </c>
      <c r="I8" s="41" t="s">
        <v>30</v>
      </c>
      <c r="J8" s="122">
        <v>75</v>
      </c>
    </row>
    <row r="9" spans="2:11" ht="21.6" thickBot="1" x14ac:dyDescent="0.45">
      <c r="B9" s="4" t="s">
        <v>13</v>
      </c>
      <c r="C9" s="5">
        <v>35000</v>
      </c>
      <c r="D9" s="6"/>
      <c r="E9" s="5">
        <f>C9</f>
        <v>35000</v>
      </c>
      <c r="I9" s="142"/>
      <c r="J9" s="143"/>
    </row>
    <row r="10" spans="2:11" ht="21.6" thickTop="1" x14ac:dyDescent="0.4">
      <c r="B10" s="4" t="s">
        <v>14</v>
      </c>
      <c r="C10" s="5">
        <v>80000</v>
      </c>
      <c r="D10" s="6"/>
      <c r="E10" s="5">
        <f>C10</f>
        <v>80000</v>
      </c>
      <c r="F10" s="3"/>
    </row>
    <row r="11" spans="2:11" ht="21" x14ac:dyDescent="0.4">
      <c r="B11" s="4" t="s">
        <v>15</v>
      </c>
      <c r="C11" s="5">
        <v>18000</v>
      </c>
      <c r="D11" s="6"/>
      <c r="E11" s="5">
        <f>C11</f>
        <v>18000</v>
      </c>
      <c r="F11" s="3"/>
      <c r="I11" s="219"/>
      <c r="J11" s="219"/>
      <c r="K11" s="114"/>
    </row>
    <row r="12" spans="2:11" ht="21" x14ac:dyDescent="0.4">
      <c r="B12" s="4" t="s">
        <v>122</v>
      </c>
      <c r="C12" s="5">
        <v>30000</v>
      </c>
      <c r="D12" s="6"/>
      <c r="E12" s="5">
        <f>C12</f>
        <v>30000</v>
      </c>
      <c r="F12" s="3"/>
      <c r="I12" s="60"/>
      <c r="J12" s="140"/>
      <c r="K12" s="2"/>
    </row>
    <row r="13" spans="2:11" ht="21" x14ac:dyDescent="0.4">
      <c r="B13" s="3" t="s">
        <v>6</v>
      </c>
      <c r="C13" s="2"/>
      <c r="E13" s="11">
        <f>E14*5%</f>
        <v>10650</v>
      </c>
      <c r="F13" s="3"/>
      <c r="I13" s="1"/>
      <c r="J13" s="2"/>
      <c r="K13" s="2"/>
    </row>
    <row r="14" spans="2:11" ht="21.6" thickBot="1" x14ac:dyDescent="0.45">
      <c r="B14" s="3" t="s">
        <v>7</v>
      </c>
      <c r="C14" s="2"/>
      <c r="E14" s="12">
        <f>E6+E7+E10+E9+E11+E12+E8</f>
        <v>213000</v>
      </c>
      <c r="F14" s="3"/>
      <c r="I14" s="141"/>
      <c r="J14" s="140"/>
      <c r="K14" s="2"/>
    </row>
    <row r="15" spans="2:11" ht="21.6" thickTop="1" x14ac:dyDescent="0.4">
      <c r="B15" s="3" t="s">
        <v>8</v>
      </c>
      <c r="C15" s="2"/>
      <c r="E15" s="14">
        <f>E14+E13</f>
        <v>223650</v>
      </c>
      <c r="F15" s="3"/>
      <c r="I15" s="141"/>
      <c r="J15" s="140"/>
      <c r="K15" s="2"/>
    </row>
    <row r="16" spans="2:11" ht="21" x14ac:dyDescent="0.4">
      <c r="B16" s="3" t="s">
        <v>9</v>
      </c>
      <c r="C16" s="2"/>
      <c r="E16" s="14">
        <f>E15/3500</f>
        <v>63.9</v>
      </c>
      <c r="F16" s="3"/>
      <c r="I16" s="141"/>
      <c r="J16" s="140"/>
      <c r="K16" s="2"/>
    </row>
    <row r="17" spans="2:11" ht="21" x14ac:dyDescent="0.4">
      <c r="I17" s="60"/>
      <c r="J17" s="140"/>
      <c r="K17" s="2"/>
    </row>
    <row r="18" spans="2:11" ht="21" x14ac:dyDescent="0.4">
      <c r="B18" s="1" t="s">
        <v>113</v>
      </c>
      <c r="C18" s="2">
        <v>72</v>
      </c>
      <c r="E18" s="2"/>
      <c r="K18" s="2"/>
    </row>
    <row r="19" spans="2:11" ht="21" x14ac:dyDescent="0.4">
      <c r="B19" s="3"/>
      <c r="C19" s="2"/>
      <c r="E19" s="3" t="s">
        <v>1</v>
      </c>
    </row>
    <row r="20" spans="2:11" ht="21" x14ac:dyDescent="0.4">
      <c r="B20" s="4" t="s">
        <v>53</v>
      </c>
      <c r="C20" s="5">
        <v>600000</v>
      </c>
      <c r="D20" s="6"/>
      <c r="E20" s="5">
        <f>C20/18</f>
        <v>33333.333333333336</v>
      </c>
    </row>
    <row r="21" spans="2:11" ht="21" x14ac:dyDescent="0.4">
      <c r="B21" s="4" t="s">
        <v>2</v>
      </c>
      <c r="C21" s="5">
        <v>300000</v>
      </c>
      <c r="D21" s="6"/>
      <c r="E21" s="5">
        <f>C21/18</f>
        <v>16666.666666666668</v>
      </c>
    </row>
    <row r="22" spans="2:11" ht="21" x14ac:dyDescent="0.4">
      <c r="B22" s="18" t="s">
        <v>121</v>
      </c>
      <c r="C22" s="5">
        <v>30000</v>
      </c>
      <c r="D22" s="6"/>
      <c r="E22" s="5">
        <f>C22</f>
        <v>30000</v>
      </c>
    </row>
    <row r="23" spans="2:11" ht="21" x14ac:dyDescent="0.4">
      <c r="B23" s="4" t="s">
        <v>4</v>
      </c>
      <c r="C23" s="5">
        <v>70000</v>
      </c>
      <c r="D23" s="6"/>
      <c r="E23" s="5">
        <f>C23</f>
        <v>70000</v>
      </c>
    </row>
    <row r="24" spans="2:11" ht="21" x14ac:dyDescent="0.4">
      <c r="B24" s="4" t="s">
        <v>5</v>
      </c>
      <c r="C24" s="5">
        <v>30000</v>
      </c>
      <c r="D24" s="6"/>
      <c r="E24" s="5">
        <f>C24</f>
        <v>30000</v>
      </c>
    </row>
    <row r="25" spans="2:11" ht="21" x14ac:dyDescent="0.4">
      <c r="B25" s="3" t="s">
        <v>6</v>
      </c>
      <c r="C25" s="2"/>
      <c r="E25" s="11">
        <f>E26*10%</f>
        <v>18000</v>
      </c>
    </row>
    <row r="26" spans="2:11" ht="21.6" thickBot="1" x14ac:dyDescent="0.45">
      <c r="B26" s="3" t="s">
        <v>7</v>
      </c>
      <c r="C26" s="2"/>
      <c r="E26" s="12">
        <f>E20+E21+E23+E24+E22</f>
        <v>180000</v>
      </c>
    </row>
    <row r="27" spans="2:11" ht="21.6" thickTop="1" x14ac:dyDescent="0.4">
      <c r="B27" s="3" t="s">
        <v>8</v>
      </c>
      <c r="C27" s="2"/>
      <c r="E27" s="14">
        <f>E26+E25</f>
        <v>198000</v>
      </c>
    </row>
    <row r="28" spans="2:11" ht="21" x14ac:dyDescent="0.4">
      <c r="B28" s="3" t="s">
        <v>9</v>
      </c>
      <c r="C28" s="2"/>
      <c r="E28" s="14">
        <f>E27/3500</f>
        <v>56.571428571428569</v>
      </c>
    </row>
    <row r="31" spans="2:11" ht="21" x14ac:dyDescent="0.4">
      <c r="B31" s="1" t="s">
        <v>30</v>
      </c>
      <c r="C31" s="2">
        <v>60</v>
      </c>
      <c r="E31" s="2"/>
    </row>
    <row r="32" spans="2:11" ht="21" x14ac:dyDescent="0.4">
      <c r="B32" s="3"/>
      <c r="C32" s="2"/>
      <c r="E32" s="3" t="s">
        <v>1</v>
      </c>
    </row>
    <row r="33" spans="2:7" ht="21" x14ac:dyDescent="0.4">
      <c r="B33" s="4" t="s">
        <v>28</v>
      </c>
      <c r="C33" s="5">
        <v>400000</v>
      </c>
      <c r="D33" s="6"/>
      <c r="E33" s="5">
        <f>C33/18</f>
        <v>22222.222222222223</v>
      </c>
      <c r="G33">
        <f>60+60+30</f>
        <v>150</v>
      </c>
    </row>
    <row r="34" spans="2:7" ht="21" x14ac:dyDescent="0.4">
      <c r="B34" s="4" t="s">
        <v>2</v>
      </c>
      <c r="C34" s="5">
        <v>200000</v>
      </c>
      <c r="D34" s="6"/>
      <c r="E34" s="5">
        <f>C34/5</f>
        <v>40000</v>
      </c>
      <c r="G34">
        <f>G33*4000</f>
        <v>600000</v>
      </c>
    </row>
    <row r="35" spans="2:7" ht="21" x14ac:dyDescent="0.4">
      <c r="B35" s="18" t="s">
        <v>27</v>
      </c>
      <c r="C35" s="5">
        <v>20000</v>
      </c>
      <c r="D35" s="6"/>
      <c r="E35" s="5">
        <f>C35</f>
        <v>20000</v>
      </c>
      <c r="G35">
        <f>330000</f>
        <v>330000</v>
      </c>
    </row>
    <row r="36" spans="2:7" ht="21" x14ac:dyDescent="0.4">
      <c r="B36" s="4" t="s">
        <v>98</v>
      </c>
      <c r="C36" s="5">
        <v>130000</v>
      </c>
      <c r="D36" s="6"/>
      <c r="E36" s="5">
        <f>C36</f>
        <v>130000</v>
      </c>
      <c r="G36" s="138">
        <f>G34-G35</f>
        <v>270000</v>
      </c>
    </row>
    <row r="37" spans="2:7" ht="21" x14ac:dyDescent="0.4">
      <c r="B37" s="4" t="s">
        <v>5</v>
      </c>
      <c r="C37" s="5">
        <v>0</v>
      </c>
      <c r="D37" s="6"/>
      <c r="E37" s="5">
        <f>C37</f>
        <v>0</v>
      </c>
    </row>
    <row r="38" spans="2:7" ht="21" x14ac:dyDescent="0.4">
      <c r="B38" s="3" t="s">
        <v>6</v>
      </c>
      <c r="C38" s="2"/>
      <c r="E38" s="11">
        <f>E39*10%</f>
        <v>21222.222222222223</v>
      </c>
    </row>
    <row r="39" spans="2:7" ht="21.6" thickBot="1" x14ac:dyDescent="0.45">
      <c r="B39" s="3" t="s">
        <v>7</v>
      </c>
      <c r="C39" s="2"/>
      <c r="E39" s="12">
        <f>E33+E34+E36+E37+E35</f>
        <v>212222.22222222222</v>
      </c>
    </row>
    <row r="40" spans="2:7" ht="21.6" thickTop="1" x14ac:dyDescent="0.4">
      <c r="B40" s="3" t="s">
        <v>8</v>
      </c>
      <c r="C40" s="2"/>
      <c r="E40" s="14">
        <f>E39+E38</f>
        <v>233444.44444444444</v>
      </c>
    </row>
    <row r="41" spans="2:7" ht="21" x14ac:dyDescent="0.4">
      <c r="B41" s="3" t="s">
        <v>9</v>
      </c>
      <c r="C41" s="2"/>
      <c r="E41" s="14">
        <f>E40/3500</f>
        <v>66.698412698412696</v>
      </c>
    </row>
    <row r="44" spans="2:7" ht="21" x14ac:dyDescent="0.4">
      <c r="B44" s="15" t="s">
        <v>38</v>
      </c>
      <c r="C44" s="16">
        <v>20</v>
      </c>
      <c r="E44" s="2"/>
    </row>
    <row r="45" spans="2:7" ht="21" x14ac:dyDescent="0.4">
      <c r="B45" s="3"/>
      <c r="C45" s="2"/>
      <c r="E45" s="3" t="s">
        <v>1</v>
      </c>
    </row>
    <row r="46" spans="2:7" ht="21" x14ac:dyDescent="0.4">
      <c r="B46" s="4" t="s">
        <v>1</v>
      </c>
      <c r="C46" s="5">
        <f>360000*2</f>
        <v>720000</v>
      </c>
      <c r="E46" s="5">
        <f>C46/18</f>
        <v>40000</v>
      </c>
    </row>
    <row r="47" spans="2:7" ht="21" x14ac:dyDescent="0.4">
      <c r="B47" s="4" t="s">
        <v>5</v>
      </c>
      <c r="C47" s="5">
        <v>10000</v>
      </c>
      <c r="E47" s="5">
        <f>C47</f>
        <v>10000</v>
      </c>
    </row>
    <row r="48" spans="2:7" ht="21" x14ac:dyDescent="0.4">
      <c r="B48" s="4" t="s">
        <v>2</v>
      </c>
      <c r="C48" s="5">
        <v>200000</v>
      </c>
      <c r="E48" s="5">
        <f>C48/5</f>
        <v>40000</v>
      </c>
    </row>
    <row r="49" spans="2:11" ht="21" x14ac:dyDescent="0.4">
      <c r="B49" s="3" t="s">
        <v>6</v>
      </c>
      <c r="C49" s="2"/>
      <c r="E49" s="11">
        <f>E50*10%</f>
        <v>9000</v>
      </c>
    </row>
    <row r="50" spans="2:11" ht="21.6" thickBot="1" x14ac:dyDescent="0.45">
      <c r="B50" s="3" t="s">
        <v>7</v>
      </c>
      <c r="C50" s="2"/>
      <c r="E50" s="12">
        <f>E46+E47+E48</f>
        <v>90000</v>
      </c>
    </row>
    <row r="51" spans="2:11" ht="21.6" thickTop="1" x14ac:dyDescent="0.4">
      <c r="B51" s="3" t="s">
        <v>8</v>
      </c>
      <c r="C51" s="2"/>
      <c r="E51" s="14">
        <f>E50+E49</f>
        <v>99000</v>
      </c>
    </row>
    <row r="52" spans="2:11" ht="21" x14ac:dyDescent="0.4">
      <c r="B52" s="3" t="s">
        <v>9</v>
      </c>
      <c r="C52" s="2"/>
      <c r="E52" s="17">
        <f>E51/3500</f>
        <v>28.285714285714285</v>
      </c>
    </row>
    <row r="55" spans="2:11" ht="21" x14ac:dyDescent="0.4">
      <c r="B55" s="1" t="s">
        <v>188</v>
      </c>
      <c r="C55" s="2">
        <v>140</v>
      </c>
      <c r="E55" s="2"/>
    </row>
    <row r="56" spans="2:11" ht="21" x14ac:dyDescent="0.4">
      <c r="B56" s="3"/>
      <c r="C56" s="2"/>
      <c r="E56" s="3" t="s">
        <v>1</v>
      </c>
    </row>
    <row r="57" spans="2:11" ht="21" x14ac:dyDescent="0.4">
      <c r="B57" s="4" t="s">
        <v>28</v>
      </c>
      <c r="C57" s="5">
        <v>200000</v>
      </c>
      <c r="D57" s="6"/>
      <c r="E57" s="5">
        <f>C57/18</f>
        <v>11111.111111111111</v>
      </c>
      <c r="G57" s="19"/>
      <c r="K57">
        <f>690000/4000</f>
        <v>172.5</v>
      </c>
    </row>
    <row r="58" spans="2:11" ht="21" x14ac:dyDescent="0.4">
      <c r="B58" s="4" t="s">
        <v>2</v>
      </c>
      <c r="C58" s="5">
        <v>300000</v>
      </c>
      <c r="D58" s="6"/>
      <c r="E58" s="5">
        <f>C58/18</f>
        <v>16666.666666666668</v>
      </c>
      <c r="G58" s="19"/>
    </row>
    <row r="59" spans="2:11" ht="21" x14ac:dyDescent="0.4">
      <c r="B59" s="18" t="s">
        <v>27</v>
      </c>
      <c r="C59" s="5">
        <v>30000</v>
      </c>
      <c r="D59" s="6"/>
      <c r="E59" s="5">
        <f>C59</f>
        <v>30000</v>
      </c>
      <c r="G59" s="19"/>
    </row>
    <row r="60" spans="2:11" ht="21" x14ac:dyDescent="0.4">
      <c r="B60" s="4" t="s">
        <v>33</v>
      </c>
      <c r="C60" s="5">
        <v>690000</v>
      </c>
      <c r="D60" s="6"/>
      <c r="E60" s="5">
        <f>C60</f>
        <v>690000</v>
      </c>
      <c r="G60" s="19"/>
    </row>
    <row r="61" spans="2:11" ht="21" x14ac:dyDescent="0.4">
      <c r="B61" s="4" t="s">
        <v>5</v>
      </c>
      <c r="C61" s="5">
        <v>0</v>
      </c>
      <c r="D61" s="6"/>
      <c r="E61" s="5">
        <f>C61</f>
        <v>0</v>
      </c>
      <c r="G61" s="19"/>
    </row>
    <row r="62" spans="2:11" ht="21" x14ac:dyDescent="0.4">
      <c r="B62" s="3" t="s">
        <v>6</v>
      </c>
      <c r="C62" s="2"/>
      <c r="E62" s="11">
        <f>E63*5%</f>
        <v>35888.888888888891</v>
      </c>
      <c r="H62" s="19"/>
    </row>
    <row r="63" spans="2:11" ht="21.6" thickBot="1" x14ac:dyDescent="0.45">
      <c r="B63" s="3" t="s">
        <v>7</v>
      </c>
      <c r="C63" s="2"/>
      <c r="E63" s="12">
        <f>E57+E58+E60+E61</f>
        <v>717777.77777777775</v>
      </c>
    </row>
    <row r="64" spans="2:11" ht="21.6" thickTop="1" x14ac:dyDescent="0.4">
      <c r="B64" s="3" t="s">
        <v>8</v>
      </c>
      <c r="C64" s="2"/>
      <c r="E64" s="14">
        <f>E63+E62</f>
        <v>753666.66666666663</v>
      </c>
    </row>
    <row r="65" spans="2:5" ht="21" x14ac:dyDescent="0.4">
      <c r="B65" s="3" t="s">
        <v>9</v>
      </c>
      <c r="C65" s="2"/>
      <c r="E65" s="14">
        <f>E64/3500</f>
        <v>215.33333333333331</v>
      </c>
    </row>
    <row r="68" spans="2:5" ht="21" x14ac:dyDescent="0.4">
      <c r="B68" s="1" t="s">
        <v>189</v>
      </c>
      <c r="C68" s="2">
        <v>140</v>
      </c>
      <c r="E68" s="2"/>
    </row>
    <row r="69" spans="2:5" ht="21" x14ac:dyDescent="0.4">
      <c r="B69" s="3"/>
      <c r="C69" s="2"/>
      <c r="E69" s="3" t="s">
        <v>1</v>
      </c>
    </row>
    <row r="70" spans="2:5" ht="21" x14ac:dyDescent="0.4">
      <c r="B70" s="4" t="s">
        <v>28</v>
      </c>
      <c r="C70" s="5">
        <v>200000</v>
      </c>
      <c r="D70" s="6"/>
      <c r="E70" s="5">
        <f>C70/18</f>
        <v>11111.111111111111</v>
      </c>
    </row>
    <row r="71" spans="2:5" ht="21" x14ac:dyDescent="0.4">
      <c r="B71" s="4" t="s">
        <v>2</v>
      </c>
      <c r="C71" s="5">
        <v>300000</v>
      </c>
      <c r="D71" s="6"/>
      <c r="E71" s="5">
        <f>C71/18</f>
        <v>16666.666666666668</v>
      </c>
    </row>
    <row r="72" spans="2:5" ht="21" x14ac:dyDescent="0.4">
      <c r="B72" s="18" t="s">
        <v>27</v>
      </c>
      <c r="C72" s="5">
        <v>30000</v>
      </c>
      <c r="D72" s="6"/>
      <c r="E72" s="5">
        <f>C72</f>
        <v>30000</v>
      </c>
    </row>
    <row r="73" spans="2:5" ht="21" x14ac:dyDescent="0.4">
      <c r="B73" s="4" t="s">
        <v>33</v>
      </c>
      <c r="C73" s="5">
        <v>360000</v>
      </c>
      <c r="D73" s="6"/>
      <c r="E73" s="5">
        <f>C73</f>
        <v>360000</v>
      </c>
    </row>
    <row r="74" spans="2:5" ht="21" x14ac:dyDescent="0.4">
      <c r="B74" s="4" t="s">
        <v>5</v>
      </c>
      <c r="C74" s="5">
        <v>0</v>
      </c>
      <c r="D74" s="6"/>
      <c r="E74" s="5">
        <f>C74</f>
        <v>0</v>
      </c>
    </row>
    <row r="75" spans="2:5" ht="21" x14ac:dyDescent="0.4">
      <c r="B75" s="3" t="s">
        <v>6</v>
      </c>
      <c r="C75" s="2"/>
      <c r="E75" s="11">
        <f>E76*5%</f>
        <v>19388.888888888887</v>
      </c>
    </row>
    <row r="76" spans="2:5" ht="21.6" thickBot="1" x14ac:dyDescent="0.45">
      <c r="B76" s="3" t="s">
        <v>7</v>
      </c>
      <c r="C76" s="2"/>
      <c r="E76" s="12">
        <f>E70+E71+E73+E74</f>
        <v>387777.77777777775</v>
      </c>
    </row>
    <row r="77" spans="2:5" ht="21.6" thickTop="1" x14ac:dyDescent="0.4">
      <c r="B77" s="3" t="s">
        <v>8</v>
      </c>
      <c r="C77" s="2"/>
      <c r="E77" s="14">
        <f>E76+E75</f>
        <v>407166.66666666663</v>
      </c>
    </row>
    <row r="78" spans="2:5" ht="21" x14ac:dyDescent="0.4">
      <c r="B78" s="3" t="s">
        <v>9</v>
      </c>
      <c r="C78" s="2"/>
      <c r="E78" s="14">
        <f>E77/3500</f>
        <v>116.33333333333333</v>
      </c>
    </row>
    <row r="81" spans="2:5" ht="21" x14ac:dyDescent="0.4">
      <c r="B81" s="1" t="s">
        <v>190</v>
      </c>
      <c r="C81" s="2">
        <v>140</v>
      </c>
      <c r="E81" s="2"/>
    </row>
    <row r="82" spans="2:5" ht="21" x14ac:dyDescent="0.4">
      <c r="B82" s="3"/>
      <c r="C82" s="2"/>
      <c r="E82" s="3" t="s">
        <v>1</v>
      </c>
    </row>
    <row r="83" spans="2:5" ht="21" x14ac:dyDescent="0.4">
      <c r="B83" s="4" t="s">
        <v>28</v>
      </c>
      <c r="C83" s="5">
        <v>500000</v>
      </c>
      <c r="D83" s="6"/>
      <c r="E83" s="5">
        <f>C83/18</f>
        <v>27777.777777777777</v>
      </c>
    </row>
    <row r="84" spans="2:5" ht="21" x14ac:dyDescent="0.4">
      <c r="B84" s="4" t="s">
        <v>2</v>
      </c>
      <c r="C84" s="5">
        <v>300000</v>
      </c>
      <c r="D84" s="6"/>
      <c r="E84" s="5">
        <f>C84/18</f>
        <v>16666.666666666668</v>
      </c>
    </row>
    <row r="85" spans="2:5" ht="21" x14ac:dyDescent="0.4">
      <c r="B85" s="18" t="s">
        <v>27</v>
      </c>
      <c r="C85" s="5">
        <v>30000</v>
      </c>
      <c r="D85" s="6"/>
      <c r="E85" s="5">
        <f>C85</f>
        <v>30000</v>
      </c>
    </row>
    <row r="86" spans="2:5" ht="21" x14ac:dyDescent="0.4">
      <c r="B86" s="4" t="s">
        <v>191</v>
      </c>
      <c r="C86" s="5">
        <v>420000</v>
      </c>
      <c r="D86" s="6"/>
      <c r="E86" s="5">
        <f>C86</f>
        <v>420000</v>
      </c>
    </row>
    <row r="87" spans="2:5" ht="21" x14ac:dyDescent="0.4">
      <c r="B87" s="4" t="s">
        <v>5</v>
      </c>
      <c r="C87" s="5">
        <v>0</v>
      </c>
      <c r="D87" s="6"/>
      <c r="E87" s="5">
        <f>C87</f>
        <v>0</v>
      </c>
    </row>
    <row r="88" spans="2:5" ht="21" x14ac:dyDescent="0.4">
      <c r="B88" s="3" t="s">
        <v>6</v>
      </c>
      <c r="C88" s="2"/>
      <c r="E88" s="11">
        <f>E89*5%</f>
        <v>23222.222222222223</v>
      </c>
    </row>
    <row r="89" spans="2:5" ht="21.6" thickBot="1" x14ac:dyDescent="0.45">
      <c r="B89" s="3" t="s">
        <v>7</v>
      </c>
      <c r="C89" s="2"/>
      <c r="E89" s="12">
        <f>E83+E84+E86+E87</f>
        <v>464444.44444444444</v>
      </c>
    </row>
    <row r="90" spans="2:5" ht="21.6" thickTop="1" x14ac:dyDescent="0.4">
      <c r="B90" s="3" t="s">
        <v>8</v>
      </c>
      <c r="C90" s="2"/>
      <c r="E90" s="14">
        <f>E89+E88</f>
        <v>487666.66666666669</v>
      </c>
    </row>
    <row r="91" spans="2:5" ht="21" x14ac:dyDescent="0.4">
      <c r="B91" s="3" t="s">
        <v>9</v>
      </c>
      <c r="C91" s="2"/>
      <c r="E91" s="14">
        <f>E90/3500</f>
        <v>139.33333333333334</v>
      </c>
    </row>
  </sheetData>
  <mergeCells count="3">
    <mergeCell ref="B2:E2"/>
    <mergeCell ref="I2:J2"/>
    <mergeCell ref="I11:J1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772A1-8187-4E49-AB33-1399BDFEE243}">
  <dimension ref="B2:O118"/>
  <sheetViews>
    <sheetView topLeftCell="A5" workbookViewId="0">
      <selection activeCell="J14" sqref="J14"/>
    </sheetView>
  </sheetViews>
  <sheetFormatPr baseColWidth="10" defaultRowHeight="14.4" x14ac:dyDescent="0.3"/>
  <cols>
    <col min="2" max="2" width="36.44140625" bestFit="1" customWidth="1"/>
    <col min="3" max="3" width="16" bestFit="1" customWidth="1"/>
    <col min="5" max="5" width="13.88671875" bestFit="1" customWidth="1"/>
    <col min="7" max="7" width="36.44140625" bestFit="1" customWidth="1"/>
    <col min="8" max="8" width="13.6640625" bestFit="1" customWidth="1"/>
    <col min="10" max="10" width="33" bestFit="1" customWidth="1"/>
    <col min="12" max="12" width="36.44140625" bestFit="1" customWidth="1"/>
    <col min="13" max="13" width="13.6640625" bestFit="1" customWidth="1"/>
    <col min="15" max="15" width="13.88671875" bestFit="1" customWidth="1"/>
  </cols>
  <sheetData>
    <row r="2" spans="2:11" ht="15" thickBot="1" x14ac:dyDescent="0.35"/>
    <row r="3" spans="2:11" ht="24" customHeight="1" thickBot="1" x14ac:dyDescent="0.5">
      <c r="B3" s="1" t="s">
        <v>0</v>
      </c>
      <c r="C3" s="2">
        <v>70</v>
      </c>
      <c r="E3" s="3"/>
      <c r="G3" s="190" t="s">
        <v>25</v>
      </c>
      <c r="H3" s="191"/>
      <c r="J3" s="174"/>
      <c r="K3" s="174"/>
    </row>
    <row r="4" spans="2:11" ht="21" customHeight="1" x14ac:dyDescent="0.45">
      <c r="B4" s="3"/>
      <c r="C4" s="2"/>
      <c r="E4" s="3" t="s">
        <v>1</v>
      </c>
      <c r="G4" s="34" t="s">
        <v>10</v>
      </c>
      <c r="H4" s="31">
        <v>30</v>
      </c>
      <c r="J4" s="174"/>
      <c r="K4" s="174"/>
    </row>
    <row r="5" spans="2:11" ht="21" customHeight="1" x14ac:dyDescent="0.45">
      <c r="B5" s="4" t="s">
        <v>1</v>
      </c>
      <c r="C5" s="5">
        <v>1200000</v>
      </c>
      <c r="D5" s="6"/>
      <c r="E5" s="7">
        <f>C5/20</f>
        <v>60000</v>
      </c>
      <c r="G5" s="35" t="s">
        <v>31</v>
      </c>
      <c r="H5" s="10">
        <v>70</v>
      </c>
      <c r="J5" s="174"/>
      <c r="K5" s="174"/>
    </row>
    <row r="6" spans="2:11" ht="21" customHeight="1" x14ac:dyDescent="0.45">
      <c r="B6" s="4" t="s">
        <v>2</v>
      </c>
      <c r="C6" s="5">
        <v>400000</v>
      </c>
      <c r="D6" s="6"/>
      <c r="E6" s="7">
        <f>C6/20</f>
        <v>20000</v>
      </c>
      <c r="G6" s="35" t="s">
        <v>11</v>
      </c>
      <c r="H6" s="10">
        <v>65</v>
      </c>
      <c r="J6" s="174"/>
      <c r="K6" s="174"/>
    </row>
    <row r="7" spans="2:11" ht="21.6" customHeight="1" thickBot="1" x14ac:dyDescent="0.5">
      <c r="B7" s="8"/>
      <c r="C7" s="5"/>
      <c r="D7" s="6"/>
      <c r="E7" s="9"/>
      <c r="G7" s="173" t="s">
        <v>87</v>
      </c>
      <c r="H7" s="33">
        <v>70</v>
      </c>
      <c r="J7" s="174"/>
      <c r="K7" s="174"/>
    </row>
    <row r="8" spans="2:11" ht="21.6" customHeight="1" thickBot="1" x14ac:dyDescent="0.5">
      <c r="B8" s="4" t="s">
        <v>3</v>
      </c>
      <c r="C8" s="10">
        <v>25000</v>
      </c>
      <c r="D8" s="6"/>
      <c r="E8" s="7">
        <f>C8</f>
        <v>25000</v>
      </c>
      <c r="G8" s="190" t="s">
        <v>24</v>
      </c>
      <c r="H8" s="191"/>
      <c r="J8" s="174"/>
      <c r="K8" s="174"/>
    </row>
    <row r="9" spans="2:11" ht="21" x14ac:dyDescent="0.4">
      <c r="B9" s="4" t="s">
        <v>4</v>
      </c>
      <c r="C9" s="5">
        <v>50000</v>
      </c>
      <c r="D9" s="6"/>
      <c r="E9" s="7">
        <f>C9</f>
        <v>50000</v>
      </c>
      <c r="G9" s="34" t="s">
        <v>10</v>
      </c>
      <c r="H9" s="31">
        <v>20</v>
      </c>
      <c r="J9" s="60"/>
      <c r="K9" s="2"/>
    </row>
    <row r="10" spans="2:11" ht="21" x14ac:dyDescent="0.4">
      <c r="B10" s="4" t="s">
        <v>5</v>
      </c>
      <c r="C10" s="5">
        <v>30000</v>
      </c>
      <c r="D10" s="6"/>
      <c r="E10" s="7">
        <f>C10</f>
        <v>30000</v>
      </c>
      <c r="G10" s="35" t="s">
        <v>16</v>
      </c>
      <c r="H10" s="10">
        <v>80</v>
      </c>
    </row>
    <row r="11" spans="2:11" ht="21" x14ac:dyDescent="0.4">
      <c r="B11" s="3" t="s">
        <v>6</v>
      </c>
      <c r="C11" s="2"/>
      <c r="E11" s="11">
        <f>E12*20%</f>
        <v>37000</v>
      </c>
      <c r="G11" s="36" t="s">
        <v>209</v>
      </c>
      <c r="H11" s="10">
        <v>50</v>
      </c>
    </row>
    <row r="12" spans="2:11" ht="21.6" thickBot="1" x14ac:dyDescent="0.45">
      <c r="B12" s="3" t="s">
        <v>7</v>
      </c>
      <c r="C12" s="2"/>
      <c r="E12" s="12">
        <f>E5+E6+E8+E9+E10</f>
        <v>185000</v>
      </c>
      <c r="G12" s="36" t="s">
        <v>34</v>
      </c>
      <c r="H12" s="10">
        <v>170</v>
      </c>
    </row>
    <row r="13" spans="2:11" ht="21.6" thickTop="1" x14ac:dyDescent="0.4">
      <c r="B13" s="3" t="s">
        <v>8</v>
      </c>
      <c r="C13" s="2"/>
      <c r="E13" s="14">
        <f>E12+E11</f>
        <v>222000</v>
      </c>
      <c r="G13" s="36" t="s">
        <v>36</v>
      </c>
      <c r="H13" s="10">
        <v>160</v>
      </c>
    </row>
    <row r="14" spans="2:11" ht="21" x14ac:dyDescent="0.4">
      <c r="B14" s="3" t="s">
        <v>9</v>
      </c>
      <c r="C14" s="2"/>
      <c r="E14" s="14">
        <f>E13/3200</f>
        <v>69.375</v>
      </c>
      <c r="G14" s="18" t="s">
        <v>30</v>
      </c>
      <c r="H14" s="10">
        <v>60</v>
      </c>
    </row>
    <row r="15" spans="2:11" ht="21" x14ac:dyDescent="0.4">
      <c r="B15" s="3"/>
      <c r="C15" s="2"/>
      <c r="E15" s="3"/>
    </row>
    <row r="17" spans="2:5" ht="21" x14ac:dyDescent="0.4">
      <c r="B17" s="15" t="s">
        <v>37</v>
      </c>
      <c r="C17" s="16">
        <v>30</v>
      </c>
      <c r="D17">
        <v>0</v>
      </c>
      <c r="E17" s="2"/>
    </row>
    <row r="18" spans="2:5" ht="21" x14ac:dyDescent="0.4">
      <c r="B18" s="3"/>
      <c r="C18" s="2"/>
      <c r="E18" s="3" t="s">
        <v>1</v>
      </c>
    </row>
    <row r="19" spans="2:5" ht="21" x14ac:dyDescent="0.4">
      <c r="B19" s="4" t="s">
        <v>1</v>
      </c>
      <c r="C19" s="5">
        <v>1200000</v>
      </c>
      <c r="E19" s="5">
        <f>C19/20</f>
        <v>60000</v>
      </c>
    </row>
    <row r="20" spans="2:5" ht="21" x14ac:dyDescent="0.4">
      <c r="B20" s="4" t="s">
        <v>5</v>
      </c>
      <c r="C20" s="5">
        <v>10000</v>
      </c>
      <c r="E20" s="5">
        <f>C20</f>
        <v>10000</v>
      </c>
    </row>
    <row r="21" spans="2:5" ht="21" x14ac:dyDescent="0.4">
      <c r="B21" s="4" t="s">
        <v>2</v>
      </c>
      <c r="C21" s="5">
        <v>200000</v>
      </c>
      <c r="E21" s="5">
        <f>C21/20</f>
        <v>10000</v>
      </c>
    </row>
    <row r="22" spans="2:5" ht="21" x14ac:dyDescent="0.4">
      <c r="B22" s="3" t="s">
        <v>6</v>
      </c>
      <c r="C22" s="2"/>
      <c r="E22" s="11">
        <f>E23*20%</f>
        <v>16000</v>
      </c>
    </row>
    <row r="23" spans="2:5" ht="21.6" thickBot="1" x14ac:dyDescent="0.45">
      <c r="B23" s="3" t="s">
        <v>7</v>
      </c>
      <c r="C23" s="2"/>
      <c r="E23" s="12">
        <f>E19+E20+E21</f>
        <v>80000</v>
      </c>
    </row>
    <row r="24" spans="2:5" ht="21.6" thickTop="1" x14ac:dyDescent="0.4">
      <c r="B24" s="3" t="s">
        <v>8</v>
      </c>
      <c r="C24" s="2"/>
      <c r="E24" s="14">
        <f>E23+E22</f>
        <v>96000</v>
      </c>
    </row>
    <row r="25" spans="2:5" ht="21" x14ac:dyDescent="0.4">
      <c r="B25" s="3" t="s">
        <v>9</v>
      </c>
      <c r="C25" s="2"/>
      <c r="E25" s="17">
        <f>E24/3200</f>
        <v>30</v>
      </c>
    </row>
    <row r="30" spans="2:5" ht="21" x14ac:dyDescent="0.4">
      <c r="B30" s="15" t="s">
        <v>38</v>
      </c>
      <c r="C30" s="16">
        <v>20</v>
      </c>
      <c r="E30" s="2"/>
    </row>
    <row r="31" spans="2:5" ht="21" x14ac:dyDescent="0.4">
      <c r="B31" s="3"/>
      <c r="C31" s="2"/>
      <c r="E31" s="3" t="s">
        <v>1</v>
      </c>
    </row>
    <row r="32" spans="2:5" ht="21" x14ac:dyDescent="0.4">
      <c r="B32" s="4" t="s">
        <v>1</v>
      </c>
      <c r="C32" s="5">
        <v>700000</v>
      </c>
      <c r="E32" s="5">
        <f>C32/20</f>
        <v>35000</v>
      </c>
    </row>
    <row r="33" spans="2:5" ht="21" x14ac:dyDescent="0.4">
      <c r="B33" s="4" t="s">
        <v>5</v>
      </c>
      <c r="C33" s="5">
        <v>10000</v>
      </c>
      <c r="E33" s="5">
        <f>C33</f>
        <v>10000</v>
      </c>
    </row>
    <row r="34" spans="2:5" ht="21" x14ac:dyDescent="0.4">
      <c r="B34" s="4" t="s">
        <v>2</v>
      </c>
      <c r="C34" s="5">
        <v>200000</v>
      </c>
      <c r="E34" s="5">
        <f>C34/20</f>
        <v>10000</v>
      </c>
    </row>
    <row r="35" spans="2:5" ht="21" x14ac:dyDescent="0.4">
      <c r="B35" s="3" t="s">
        <v>6</v>
      </c>
      <c r="C35" s="2"/>
      <c r="E35" s="11">
        <f>E36*20%</f>
        <v>11000</v>
      </c>
    </row>
    <row r="36" spans="2:5" ht="21.6" thickBot="1" x14ac:dyDescent="0.45">
      <c r="B36" s="3" t="s">
        <v>7</v>
      </c>
      <c r="C36" s="2"/>
      <c r="E36" s="12">
        <f>E32+E33+E34</f>
        <v>55000</v>
      </c>
    </row>
    <row r="37" spans="2:5" ht="21.6" thickTop="1" x14ac:dyDescent="0.4">
      <c r="B37" s="3" t="s">
        <v>8</v>
      </c>
      <c r="C37" s="2"/>
      <c r="E37" s="14">
        <f>E36+E35</f>
        <v>66000</v>
      </c>
    </row>
    <row r="38" spans="2:5" ht="21" x14ac:dyDescent="0.4">
      <c r="B38" s="3" t="s">
        <v>9</v>
      </c>
      <c r="C38" s="2"/>
      <c r="E38" s="17">
        <f>E37/3200</f>
        <v>20.625</v>
      </c>
    </row>
    <row r="42" spans="2:5" ht="21" x14ac:dyDescent="0.4">
      <c r="B42" s="1" t="s">
        <v>11</v>
      </c>
      <c r="C42" s="2">
        <v>65</v>
      </c>
      <c r="E42" s="2"/>
    </row>
    <row r="43" spans="2:5" ht="21" x14ac:dyDescent="0.4">
      <c r="B43" s="3"/>
      <c r="C43" s="2"/>
      <c r="E43" s="3" t="s">
        <v>1</v>
      </c>
    </row>
    <row r="44" spans="2:5" ht="21" x14ac:dyDescent="0.4">
      <c r="B44" s="4" t="s">
        <v>1</v>
      </c>
      <c r="C44" s="5">
        <v>1600000</v>
      </c>
      <c r="D44" s="6"/>
      <c r="E44" s="5">
        <f>C44/20</f>
        <v>80000</v>
      </c>
    </row>
    <row r="45" spans="2:5" ht="21" x14ac:dyDescent="0.4">
      <c r="B45" s="4" t="s">
        <v>2</v>
      </c>
      <c r="C45" s="5">
        <v>500000</v>
      </c>
      <c r="D45" s="6"/>
      <c r="E45" s="5">
        <f>C45/20</f>
        <v>25000</v>
      </c>
    </row>
    <row r="46" spans="2:5" ht="21" x14ac:dyDescent="0.4">
      <c r="B46" s="18" t="s">
        <v>12</v>
      </c>
      <c r="C46" s="5">
        <v>15000</v>
      </c>
      <c r="D46" s="6"/>
      <c r="E46" s="5">
        <f>C46</f>
        <v>15000</v>
      </c>
    </row>
    <row r="47" spans="2:5" ht="21" x14ac:dyDescent="0.4">
      <c r="B47" s="4" t="s">
        <v>13</v>
      </c>
      <c r="C47" s="5">
        <v>0</v>
      </c>
      <c r="D47" s="6"/>
      <c r="E47" s="5">
        <f>C47</f>
        <v>0</v>
      </c>
    </row>
    <row r="48" spans="2:5" ht="21" x14ac:dyDescent="0.4">
      <c r="B48" s="4" t="s">
        <v>14</v>
      </c>
      <c r="C48" s="5">
        <v>40000</v>
      </c>
      <c r="D48" s="6"/>
      <c r="E48" s="5">
        <f>C48</f>
        <v>40000</v>
      </c>
    </row>
    <row r="49" spans="2:10" ht="21" x14ac:dyDescent="0.4">
      <c r="B49" s="4" t="s">
        <v>15</v>
      </c>
      <c r="C49" s="5">
        <v>0</v>
      </c>
      <c r="D49" s="6"/>
      <c r="E49" s="5">
        <f>C49</f>
        <v>0</v>
      </c>
    </row>
    <row r="50" spans="2:10" ht="21" x14ac:dyDescent="0.4">
      <c r="B50" s="4" t="s">
        <v>5</v>
      </c>
      <c r="C50" s="5">
        <v>30000</v>
      </c>
      <c r="D50" s="6"/>
      <c r="E50" s="5">
        <f>C50</f>
        <v>30000</v>
      </c>
    </row>
    <row r="51" spans="2:10" ht="21" x14ac:dyDescent="0.4">
      <c r="B51" s="3" t="s">
        <v>6</v>
      </c>
      <c r="C51" s="2"/>
      <c r="E51" s="11">
        <f>E52*20%</f>
        <v>38000</v>
      </c>
    </row>
    <row r="52" spans="2:10" ht="21.6" thickBot="1" x14ac:dyDescent="0.45">
      <c r="B52" s="3" t="s">
        <v>7</v>
      </c>
      <c r="C52" s="2"/>
      <c r="E52" s="12">
        <f>E44+E45+E48+E47+E49+E50+E46</f>
        <v>190000</v>
      </c>
    </row>
    <row r="53" spans="2:10" ht="21.6" thickTop="1" x14ac:dyDescent="0.4">
      <c r="B53" s="3" t="s">
        <v>8</v>
      </c>
      <c r="C53" s="2"/>
      <c r="E53" s="14">
        <f>E52+E51</f>
        <v>228000</v>
      </c>
    </row>
    <row r="54" spans="2:10" ht="21" x14ac:dyDescent="0.4">
      <c r="B54" s="3" t="s">
        <v>9</v>
      </c>
      <c r="C54" s="2"/>
      <c r="E54" s="14">
        <f>E53/3500</f>
        <v>65.142857142857139</v>
      </c>
    </row>
    <row r="56" spans="2:10" ht="21" x14ac:dyDescent="0.4">
      <c r="B56" s="1" t="s">
        <v>16</v>
      </c>
      <c r="C56" s="2">
        <v>90</v>
      </c>
      <c r="E56" s="2"/>
      <c r="G56" s="1" t="s">
        <v>209</v>
      </c>
      <c r="H56" s="2">
        <v>90</v>
      </c>
      <c r="J56" s="2"/>
    </row>
    <row r="57" spans="2:10" ht="21" x14ac:dyDescent="0.4">
      <c r="B57" s="3"/>
      <c r="C57" s="2"/>
      <c r="E57" s="3" t="s">
        <v>1</v>
      </c>
      <c r="G57" s="3"/>
      <c r="H57" s="2"/>
      <c r="J57" s="3" t="s">
        <v>1</v>
      </c>
    </row>
    <row r="58" spans="2:10" ht="21" x14ac:dyDescent="0.4">
      <c r="B58" s="4" t="s">
        <v>1</v>
      </c>
      <c r="C58" s="5">
        <v>600000</v>
      </c>
      <c r="D58" s="6"/>
      <c r="E58" s="5">
        <f>C58/20</f>
        <v>30000</v>
      </c>
      <c r="G58" s="4" t="s">
        <v>1</v>
      </c>
      <c r="H58" s="5">
        <v>600000</v>
      </c>
      <c r="I58" s="6"/>
      <c r="J58" s="5">
        <f>H58/20</f>
        <v>30000</v>
      </c>
    </row>
    <row r="59" spans="2:10" ht="21" x14ac:dyDescent="0.4">
      <c r="B59" s="4" t="s">
        <v>2</v>
      </c>
      <c r="C59" s="5">
        <v>400000</v>
      </c>
      <c r="D59" s="6"/>
      <c r="E59" s="5">
        <f>C59/20</f>
        <v>20000</v>
      </c>
      <c r="G59" s="4" t="s">
        <v>2</v>
      </c>
      <c r="H59" s="5">
        <v>300000</v>
      </c>
      <c r="I59" s="6"/>
      <c r="J59" s="5">
        <f>H59/20</f>
        <v>15000</v>
      </c>
    </row>
    <row r="60" spans="2:10" ht="21" x14ac:dyDescent="0.4">
      <c r="B60" s="18" t="s">
        <v>12</v>
      </c>
      <c r="C60" s="5"/>
      <c r="D60" s="6"/>
      <c r="E60" s="4"/>
      <c r="G60" s="18" t="s">
        <v>12</v>
      </c>
      <c r="H60" s="5"/>
      <c r="I60" s="6"/>
      <c r="J60" s="4"/>
    </row>
    <row r="61" spans="2:10" ht="21" x14ac:dyDescent="0.4">
      <c r="B61" s="4" t="s">
        <v>13</v>
      </c>
      <c r="C61" s="5">
        <f>40000</f>
        <v>40000</v>
      </c>
      <c r="D61" s="6"/>
      <c r="E61" s="5">
        <f>C61</f>
        <v>40000</v>
      </c>
      <c r="G61" s="4" t="s">
        <v>13</v>
      </c>
      <c r="H61" s="5">
        <f>40000</f>
        <v>40000</v>
      </c>
      <c r="I61" s="6"/>
      <c r="J61" s="5">
        <f>H61</f>
        <v>40000</v>
      </c>
    </row>
    <row r="62" spans="2:10" ht="21" x14ac:dyDescent="0.4">
      <c r="B62" s="4" t="s">
        <v>14</v>
      </c>
      <c r="C62" s="5">
        <v>60000</v>
      </c>
      <c r="D62" s="6"/>
      <c r="E62" s="5">
        <f>C62</f>
        <v>60000</v>
      </c>
      <c r="G62" s="4" t="s">
        <v>14</v>
      </c>
      <c r="H62" s="5"/>
      <c r="I62" s="6"/>
      <c r="J62" s="5">
        <f>H62</f>
        <v>0</v>
      </c>
    </row>
    <row r="63" spans="2:10" ht="21" x14ac:dyDescent="0.4">
      <c r="B63" s="4" t="s">
        <v>15</v>
      </c>
      <c r="C63" s="5">
        <v>18000</v>
      </c>
      <c r="D63" s="6"/>
      <c r="E63" s="5">
        <f>C63</f>
        <v>18000</v>
      </c>
      <c r="G63" s="4" t="s">
        <v>15</v>
      </c>
      <c r="H63" s="5">
        <v>18000</v>
      </c>
      <c r="I63" s="6"/>
      <c r="J63" s="5">
        <f>H63</f>
        <v>18000</v>
      </c>
    </row>
    <row r="64" spans="2:10" ht="21" x14ac:dyDescent="0.4">
      <c r="B64" s="4" t="s">
        <v>5</v>
      </c>
      <c r="C64" s="5">
        <v>30000</v>
      </c>
      <c r="D64" s="6"/>
      <c r="E64" s="5">
        <f>C64</f>
        <v>30000</v>
      </c>
      <c r="G64" s="4" t="s">
        <v>5</v>
      </c>
      <c r="H64" s="5">
        <v>20000</v>
      </c>
      <c r="I64" s="6"/>
      <c r="J64" s="5">
        <f>H64</f>
        <v>20000</v>
      </c>
    </row>
    <row r="65" spans="2:15" ht="21" x14ac:dyDescent="0.4">
      <c r="B65" s="3" t="s">
        <v>6</v>
      </c>
      <c r="C65" s="2"/>
      <c r="E65" s="11">
        <f>E66*20%</f>
        <v>39600</v>
      </c>
      <c r="G65" s="3" t="s">
        <v>6</v>
      </c>
      <c r="H65" s="2"/>
      <c r="J65" s="11">
        <f>J66*20%</f>
        <v>24600</v>
      </c>
    </row>
    <row r="66" spans="2:15" ht="21.6" thickBot="1" x14ac:dyDescent="0.45">
      <c r="B66" s="3" t="s">
        <v>7</v>
      </c>
      <c r="C66" s="2"/>
      <c r="E66" s="12">
        <f>E58+E59+E62+E61+E63+E64</f>
        <v>198000</v>
      </c>
      <c r="G66" s="3" t="s">
        <v>7</v>
      </c>
      <c r="H66" s="2"/>
      <c r="J66" s="12">
        <f>J58+J59+J62+J61+J63+J64</f>
        <v>123000</v>
      </c>
    </row>
    <row r="67" spans="2:15" ht="21.6" thickTop="1" x14ac:dyDescent="0.4">
      <c r="B67" s="3" t="s">
        <v>8</v>
      </c>
      <c r="C67" s="2"/>
      <c r="E67" s="14">
        <f>E66+E65</f>
        <v>237600</v>
      </c>
      <c r="G67" s="3" t="s">
        <v>8</v>
      </c>
      <c r="H67" s="2"/>
      <c r="J67" s="14">
        <f>J66+J65</f>
        <v>147600</v>
      </c>
    </row>
    <row r="68" spans="2:15" ht="21" x14ac:dyDescent="0.4">
      <c r="B68" s="3" t="s">
        <v>9</v>
      </c>
      <c r="C68" s="2"/>
      <c r="E68" s="14">
        <f>E67/3200</f>
        <v>74.25</v>
      </c>
      <c r="G68" s="3" t="s">
        <v>9</v>
      </c>
      <c r="H68" s="2"/>
      <c r="J68" s="14">
        <f>J67/3200</f>
        <v>46.125</v>
      </c>
    </row>
    <row r="70" spans="2:15" ht="21" x14ac:dyDescent="0.4">
      <c r="B70" s="1" t="s">
        <v>26</v>
      </c>
      <c r="C70" s="2">
        <v>140</v>
      </c>
      <c r="E70" s="2"/>
      <c r="G70" s="1" t="s">
        <v>26</v>
      </c>
      <c r="H70" s="2">
        <v>140</v>
      </c>
      <c r="J70" s="2"/>
      <c r="L70" s="1" t="s">
        <v>26</v>
      </c>
      <c r="M70" s="2">
        <v>140</v>
      </c>
      <c r="O70" s="2"/>
    </row>
    <row r="71" spans="2:15" ht="21" x14ac:dyDescent="0.4">
      <c r="B71" s="3"/>
      <c r="C71" s="2"/>
      <c r="E71" s="3" t="s">
        <v>1</v>
      </c>
      <c r="G71" s="3"/>
      <c r="H71" s="2"/>
      <c r="J71" s="3" t="s">
        <v>1</v>
      </c>
      <c r="L71" s="3"/>
      <c r="M71" s="2"/>
      <c r="O71" s="3" t="s">
        <v>1</v>
      </c>
    </row>
    <row r="72" spans="2:15" ht="21" x14ac:dyDescent="0.4">
      <c r="B72" s="4" t="s">
        <v>28</v>
      </c>
      <c r="C72" s="5">
        <v>500000</v>
      </c>
      <c r="D72" s="6"/>
      <c r="E72" s="5">
        <f>C72/20</f>
        <v>25000</v>
      </c>
      <c r="G72" s="4" t="s">
        <v>28</v>
      </c>
      <c r="H72" s="5">
        <v>500000</v>
      </c>
      <c r="I72" s="6"/>
      <c r="J72" s="5">
        <f>H72/20</f>
        <v>25000</v>
      </c>
      <c r="L72" s="4" t="s">
        <v>28</v>
      </c>
      <c r="M72" s="5">
        <v>500000</v>
      </c>
      <c r="N72" s="6"/>
      <c r="O72" s="5">
        <f>M72/25</f>
        <v>20000</v>
      </c>
    </row>
    <row r="73" spans="2:15" ht="21" x14ac:dyDescent="0.4">
      <c r="B73" s="4" t="s">
        <v>2</v>
      </c>
      <c r="C73" s="5">
        <v>200000</v>
      </c>
      <c r="D73" s="6"/>
      <c r="E73" s="5">
        <f>C73/20</f>
        <v>10000</v>
      </c>
      <c r="G73" s="4" t="s">
        <v>2</v>
      </c>
      <c r="H73" s="5">
        <v>500000</v>
      </c>
      <c r="I73" s="6"/>
      <c r="J73" s="5">
        <f>H73/20</f>
        <v>25000</v>
      </c>
      <c r="L73" s="4" t="s">
        <v>2</v>
      </c>
      <c r="M73" s="5">
        <v>500000</v>
      </c>
      <c r="N73" s="6"/>
      <c r="O73" s="5">
        <f>M73/25</f>
        <v>20000</v>
      </c>
    </row>
    <row r="74" spans="2:15" ht="21" x14ac:dyDescent="0.4">
      <c r="B74" s="18" t="s">
        <v>27</v>
      </c>
      <c r="C74" s="5">
        <v>30000</v>
      </c>
      <c r="D74" s="6"/>
      <c r="E74" s="5">
        <f>C74</f>
        <v>30000</v>
      </c>
      <c r="G74" s="18" t="s">
        <v>27</v>
      </c>
      <c r="H74" s="5">
        <v>30000</v>
      </c>
      <c r="I74" s="6"/>
      <c r="J74" s="5">
        <f>H74</f>
        <v>30000</v>
      </c>
      <c r="L74" s="18" t="s">
        <v>27</v>
      </c>
      <c r="M74" s="5">
        <v>26000</v>
      </c>
      <c r="N74" s="6"/>
      <c r="O74" s="5">
        <f>M74</f>
        <v>26000</v>
      </c>
    </row>
    <row r="75" spans="2:15" ht="21" x14ac:dyDescent="0.4">
      <c r="B75" s="4" t="s">
        <v>29</v>
      </c>
      <c r="C75" s="5">
        <v>490000</v>
      </c>
      <c r="D75" s="6"/>
      <c r="E75" s="5">
        <f>C75</f>
        <v>490000</v>
      </c>
      <c r="G75" s="4" t="s">
        <v>33</v>
      </c>
      <c r="H75" s="5">
        <v>415000</v>
      </c>
      <c r="I75" s="6"/>
      <c r="J75" s="5">
        <f>H75</f>
        <v>415000</v>
      </c>
      <c r="L75" s="4" t="s">
        <v>32</v>
      </c>
      <c r="M75" s="5">
        <v>300000</v>
      </c>
      <c r="N75" s="6"/>
      <c r="O75" s="5">
        <f>M75</f>
        <v>300000</v>
      </c>
    </row>
    <row r="76" spans="2:15" ht="21" x14ac:dyDescent="0.4">
      <c r="B76" s="4" t="s">
        <v>5</v>
      </c>
      <c r="C76" s="5">
        <v>0</v>
      </c>
      <c r="D76" s="6"/>
      <c r="E76" s="5">
        <f>C76</f>
        <v>0</v>
      </c>
      <c r="G76" s="4" t="s">
        <v>5</v>
      </c>
      <c r="H76" s="5">
        <v>0</v>
      </c>
      <c r="I76" s="6"/>
      <c r="J76" s="5">
        <f>H76</f>
        <v>0</v>
      </c>
      <c r="L76" s="4" t="s">
        <v>5</v>
      </c>
      <c r="M76" s="5">
        <v>0</v>
      </c>
      <c r="N76" s="6"/>
      <c r="O76" s="5">
        <f>M76</f>
        <v>0</v>
      </c>
    </row>
    <row r="77" spans="2:15" ht="21" x14ac:dyDescent="0.4">
      <c r="B77" s="3" t="s">
        <v>6</v>
      </c>
      <c r="C77" s="2"/>
      <c r="E77" s="11">
        <f>E78*5%</f>
        <v>26250</v>
      </c>
      <c r="G77" s="3" t="s">
        <v>6</v>
      </c>
      <c r="H77" s="2"/>
      <c r="J77" s="11">
        <f>J78*5%</f>
        <v>23250</v>
      </c>
      <c r="L77" s="3" t="s">
        <v>6</v>
      </c>
      <c r="M77" s="2"/>
      <c r="O77" s="11">
        <f>O78*5%</f>
        <v>17000</v>
      </c>
    </row>
    <row r="78" spans="2:15" ht="21.6" thickBot="1" x14ac:dyDescent="0.45">
      <c r="B78" s="3" t="s">
        <v>7</v>
      </c>
      <c r="C78" s="2"/>
      <c r="E78" s="12">
        <f>E72+E73+E75+E76</f>
        <v>525000</v>
      </c>
      <c r="G78" s="3" t="s">
        <v>7</v>
      </c>
      <c r="H78" s="2"/>
      <c r="J78" s="12">
        <f>J72+J73+J75+J76</f>
        <v>465000</v>
      </c>
      <c r="L78" s="3" t="s">
        <v>7</v>
      </c>
      <c r="M78" s="2"/>
      <c r="O78" s="12">
        <f>O72+O73+O75+O76</f>
        <v>340000</v>
      </c>
    </row>
    <row r="79" spans="2:15" ht="21.6" thickTop="1" x14ac:dyDescent="0.4">
      <c r="B79" s="3" t="s">
        <v>8</v>
      </c>
      <c r="C79" s="2"/>
      <c r="E79" s="14">
        <f>E78+E77</f>
        <v>551250</v>
      </c>
      <c r="G79" s="3" t="s">
        <v>8</v>
      </c>
      <c r="H79" s="2"/>
      <c r="J79" s="14">
        <f>J78+J77</f>
        <v>488250</v>
      </c>
      <c r="L79" s="3" t="s">
        <v>8</v>
      </c>
      <c r="M79" s="2"/>
      <c r="O79" s="14">
        <f>O78+O77</f>
        <v>357000</v>
      </c>
    </row>
    <row r="80" spans="2:15" ht="21" x14ac:dyDescent="0.4">
      <c r="B80" s="3" t="s">
        <v>9</v>
      </c>
      <c r="C80" s="2"/>
      <c r="E80" s="14">
        <f>E79/3200</f>
        <v>172.265625</v>
      </c>
      <c r="G80" s="3" t="s">
        <v>9</v>
      </c>
      <c r="H80" s="2"/>
      <c r="J80" s="14">
        <f>J79/3200</f>
        <v>152.578125</v>
      </c>
      <c r="L80" s="3" t="s">
        <v>9</v>
      </c>
      <c r="M80" s="2"/>
      <c r="O80" s="14">
        <f>O79/3200</f>
        <v>111.5625</v>
      </c>
    </row>
    <row r="83" spans="2:5" ht="21" x14ac:dyDescent="0.4">
      <c r="B83" s="1" t="s">
        <v>30</v>
      </c>
      <c r="C83" s="2">
        <v>55</v>
      </c>
      <c r="E83" s="2"/>
    </row>
    <row r="84" spans="2:5" ht="21" x14ac:dyDescent="0.4">
      <c r="B84" s="3"/>
      <c r="C84" s="2"/>
      <c r="E84" s="3" t="s">
        <v>1</v>
      </c>
    </row>
    <row r="85" spans="2:5" ht="21" x14ac:dyDescent="0.4">
      <c r="B85" s="4" t="s">
        <v>28</v>
      </c>
      <c r="C85" s="5">
        <v>500000</v>
      </c>
      <c r="D85" s="6"/>
      <c r="E85" s="5">
        <f>C85/20</f>
        <v>25000</v>
      </c>
    </row>
    <row r="86" spans="2:5" ht="21" x14ac:dyDescent="0.4">
      <c r="B86" s="4" t="s">
        <v>2</v>
      </c>
      <c r="C86" s="5">
        <v>200000</v>
      </c>
      <c r="D86" s="6"/>
      <c r="E86" s="5">
        <f>C86/20</f>
        <v>10000</v>
      </c>
    </row>
    <row r="87" spans="2:5" ht="21" x14ac:dyDescent="0.4">
      <c r="B87" s="18" t="s">
        <v>27</v>
      </c>
      <c r="C87" s="5">
        <v>26000</v>
      </c>
      <c r="D87" s="6"/>
      <c r="E87" s="5">
        <f>C87</f>
        <v>26000</v>
      </c>
    </row>
    <row r="88" spans="2:5" ht="21" x14ac:dyDescent="0.4">
      <c r="B88" s="4" t="s">
        <v>51</v>
      </c>
      <c r="C88" s="5">
        <v>130000</v>
      </c>
      <c r="D88" s="6"/>
      <c r="E88" s="5">
        <f>C88</f>
        <v>130000</v>
      </c>
    </row>
    <row r="89" spans="2:5" ht="21" x14ac:dyDescent="0.4">
      <c r="B89" s="4" t="s">
        <v>5</v>
      </c>
      <c r="C89" s="5">
        <v>0</v>
      </c>
      <c r="D89" s="6"/>
      <c r="E89" s="5">
        <f>C89</f>
        <v>0</v>
      </c>
    </row>
    <row r="90" spans="2:5" ht="21" x14ac:dyDescent="0.4">
      <c r="B90" s="3" t="s">
        <v>6</v>
      </c>
      <c r="C90" s="2"/>
      <c r="E90" s="11">
        <f>E91*5%</f>
        <v>9550</v>
      </c>
    </row>
    <row r="91" spans="2:5" ht="21.6" thickBot="1" x14ac:dyDescent="0.45">
      <c r="B91" s="3" t="s">
        <v>7</v>
      </c>
      <c r="C91" s="2"/>
      <c r="E91" s="12">
        <f>E85+E86+E88+E89+E87</f>
        <v>191000</v>
      </c>
    </row>
    <row r="92" spans="2:5" ht="21.6" thickTop="1" x14ac:dyDescent="0.4">
      <c r="B92" s="3" t="s">
        <v>8</v>
      </c>
      <c r="C92" s="2"/>
      <c r="E92" s="14">
        <f>E91+E90</f>
        <v>200550</v>
      </c>
    </row>
    <row r="93" spans="2:5" ht="21" x14ac:dyDescent="0.4">
      <c r="B93" s="3" t="s">
        <v>9</v>
      </c>
      <c r="C93" s="2"/>
      <c r="E93" s="14">
        <f>E92/3200</f>
        <v>62.671875</v>
      </c>
    </row>
    <row r="96" spans="2:5" ht="21" x14ac:dyDescent="0.4">
      <c r="B96" s="1" t="s">
        <v>42</v>
      </c>
      <c r="C96" s="2">
        <v>55</v>
      </c>
      <c r="E96" s="2"/>
    </row>
    <row r="97" spans="2:5" ht="21" x14ac:dyDescent="0.4">
      <c r="B97" s="3"/>
      <c r="C97" s="2"/>
      <c r="E97" s="3" t="s">
        <v>1</v>
      </c>
    </row>
    <row r="98" spans="2:5" ht="21" x14ac:dyDescent="0.4">
      <c r="B98" s="4" t="s">
        <v>100</v>
      </c>
      <c r="C98" s="5">
        <v>900000</v>
      </c>
      <c r="D98" s="6"/>
      <c r="E98" s="5">
        <f>C98/20</f>
        <v>45000</v>
      </c>
    </row>
    <row r="99" spans="2:5" ht="21" x14ac:dyDescent="0.4">
      <c r="B99" s="4" t="s">
        <v>2</v>
      </c>
      <c r="C99" s="5">
        <v>300000</v>
      </c>
      <c r="D99" s="6"/>
      <c r="E99" s="5">
        <f>C99/20</f>
        <v>15000</v>
      </c>
    </row>
    <row r="100" spans="2:5" ht="21" x14ac:dyDescent="0.4">
      <c r="B100" s="18" t="s">
        <v>210</v>
      </c>
      <c r="C100" s="5">
        <v>200000</v>
      </c>
      <c r="D100" s="6"/>
      <c r="E100" s="5">
        <f>C100/20</f>
        <v>10000</v>
      </c>
    </row>
    <row r="101" spans="2:5" ht="21" x14ac:dyDescent="0.4">
      <c r="B101" s="4" t="s">
        <v>211</v>
      </c>
      <c r="C101" s="5">
        <v>5000</v>
      </c>
      <c r="D101" s="6"/>
      <c r="E101" s="5">
        <f>C101</f>
        <v>5000</v>
      </c>
    </row>
    <row r="102" spans="2:5" ht="21" x14ac:dyDescent="0.4">
      <c r="B102" s="4" t="s">
        <v>5</v>
      </c>
      <c r="C102" s="5">
        <v>40000</v>
      </c>
      <c r="D102" s="6"/>
      <c r="E102" s="5">
        <f>C102</f>
        <v>40000</v>
      </c>
    </row>
    <row r="103" spans="2:5" ht="21" x14ac:dyDescent="0.4">
      <c r="B103" s="3" t="s">
        <v>6</v>
      </c>
      <c r="C103" s="2"/>
      <c r="E103" s="11">
        <f>E104*5%</f>
        <v>5750</v>
      </c>
    </row>
    <row r="104" spans="2:5" ht="21.6" thickBot="1" x14ac:dyDescent="0.45">
      <c r="B104" s="3" t="s">
        <v>7</v>
      </c>
      <c r="C104" s="2"/>
      <c r="E104" s="12">
        <f>E98+E99+E101+E102+E100</f>
        <v>115000</v>
      </c>
    </row>
    <row r="105" spans="2:5" ht="21.6" thickTop="1" x14ac:dyDescent="0.4">
      <c r="B105" s="3" t="s">
        <v>8</v>
      </c>
      <c r="C105" s="2"/>
      <c r="E105" s="14">
        <f>E104+E103</f>
        <v>120750</v>
      </c>
    </row>
    <row r="106" spans="2:5" ht="21" x14ac:dyDescent="0.4">
      <c r="B106" s="3" t="s">
        <v>9</v>
      </c>
      <c r="C106" s="2"/>
      <c r="E106" s="14">
        <f>E105/3200</f>
        <v>37.734375</v>
      </c>
    </row>
    <row r="108" spans="2:5" ht="21" x14ac:dyDescent="0.4">
      <c r="B108" s="1" t="s">
        <v>87</v>
      </c>
      <c r="C108" s="2">
        <v>70</v>
      </c>
      <c r="E108" s="2"/>
    </row>
    <row r="109" spans="2:5" ht="21" x14ac:dyDescent="0.4">
      <c r="B109" s="3"/>
      <c r="C109" s="2"/>
      <c r="E109" s="3" t="s">
        <v>1</v>
      </c>
    </row>
    <row r="110" spans="2:5" ht="21" x14ac:dyDescent="0.4">
      <c r="B110" s="4" t="s">
        <v>1</v>
      </c>
      <c r="C110" s="5">
        <v>400000</v>
      </c>
      <c r="D110" s="6"/>
      <c r="E110" s="5">
        <f>C110/20</f>
        <v>20000</v>
      </c>
    </row>
    <row r="111" spans="2:5" ht="21" x14ac:dyDescent="0.4">
      <c r="B111" s="4" t="s">
        <v>2</v>
      </c>
      <c r="C111" s="5">
        <v>400000</v>
      </c>
      <c r="D111" s="6"/>
      <c r="E111" s="5">
        <f>C111/20</f>
        <v>20000</v>
      </c>
    </row>
    <row r="112" spans="2:5" ht="21" x14ac:dyDescent="0.4">
      <c r="B112" s="18" t="s">
        <v>88</v>
      </c>
      <c r="C112" s="5">
        <v>100000</v>
      </c>
      <c r="D112" s="6"/>
      <c r="E112" s="5">
        <f>C112</f>
        <v>100000</v>
      </c>
    </row>
    <row r="113" spans="2:5" ht="21" x14ac:dyDescent="0.4">
      <c r="B113" s="4" t="s">
        <v>22</v>
      </c>
      <c r="C113" s="5"/>
      <c r="D113" s="6"/>
      <c r="E113" s="5">
        <f>C113</f>
        <v>0</v>
      </c>
    </row>
    <row r="114" spans="2:5" ht="21" x14ac:dyDescent="0.4">
      <c r="B114" s="4" t="s">
        <v>5</v>
      </c>
      <c r="C114" s="5">
        <v>25000</v>
      </c>
      <c r="D114" s="6"/>
      <c r="E114" s="5">
        <f>C114</f>
        <v>25000</v>
      </c>
    </row>
    <row r="115" spans="2:5" ht="21" x14ac:dyDescent="0.4">
      <c r="B115" s="3" t="s">
        <v>6</v>
      </c>
      <c r="C115" s="2"/>
      <c r="E115" s="11">
        <f>E116*20%</f>
        <v>33000</v>
      </c>
    </row>
    <row r="116" spans="2:5" ht="21.6" thickBot="1" x14ac:dyDescent="0.45">
      <c r="B116" s="3" t="s">
        <v>7</v>
      </c>
      <c r="C116" s="2"/>
      <c r="E116" s="12">
        <f>E110+E111+E114+E112</f>
        <v>165000</v>
      </c>
    </row>
    <row r="117" spans="2:5" ht="21.6" thickTop="1" x14ac:dyDescent="0.4">
      <c r="B117" s="3" t="s">
        <v>8</v>
      </c>
      <c r="C117" s="2"/>
      <c r="E117" s="14">
        <f>E116+E115</f>
        <v>198000</v>
      </c>
    </row>
    <row r="118" spans="2:5" ht="21" x14ac:dyDescent="0.4">
      <c r="B118" s="3" t="s">
        <v>9</v>
      </c>
      <c r="C118" s="2"/>
      <c r="E118" s="14">
        <f>E117/3500</f>
        <v>56.571428571428569</v>
      </c>
    </row>
  </sheetData>
  <mergeCells count="2">
    <mergeCell ref="G3:H3"/>
    <mergeCell ref="G8:H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32BFC-7A8E-4B2D-82B4-AE45F80475CB}">
  <sheetPr>
    <tabColor theme="4" tint="-0.249977111117893"/>
  </sheetPr>
  <dimension ref="B2:K105"/>
  <sheetViews>
    <sheetView workbookViewId="0">
      <selection activeCell="I3" sqref="I3:J11"/>
    </sheetView>
  </sheetViews>
  <sheetFormatPr baseColWidth="10" defaultRowHeight="14.4" x14ac:dyDescent="0.3"/>
  <cols>
    <col min="2" max="2" width="46.21875" bestFit="1" customWidth="1"/>
    <col min="3" max="3" width="13.5546875" bestFit="1" customWidth="1"/>
    <col min="5" max="5" width="13.5546875" bestFit="1" customWidth="1"/>
    <col min="9" max="9" width="31.77734375" bestFit="1" customWidth="1"/>
  </cols>
  <sheetData>
    <row r="2" spans="2:11" ht="15" thickBot="1" x14ac:dyDescent="0.35"/>
    <row r="3" spans="2:11" ht="21.6" thickBot="1" x14ac:dyDescent="0.45">
      <c r="B3" s="218" t="s">
        <v>196</v>
      </c>
      <c r="C3" s="218"/>
      <c r="D3" s="218"/>
      <c r="E3" s="218"/>
      <c r="I3" s="190" t="s">
        <v>24</v>
      </c>
      <c r="J3" s="191"/>
    </row>
    <row r="4" spans="2:11" ht="21" x14ac:dyDescent="0.4">
      <c r="I4" s="95" t="s">
        <v>10</v>
      </c>
      <c r="J4" s="120">
        <v>30</v>
      </c>
    </row>
    <row r="5" spans="2:11" ht="21" x14ac:dyDescent="0.4">
      <c r="B5" s="1" t="s">
        <v>16</v>
      </c>
      <c r="C5" s="2">
        <v>94</v>
      </c>
      <c r="E5" s="2"/>
      <c r="I5" s="121" t="s">
        <v>16</v>
      </c>
      <c r="J5" s="122">
        <v>75</v>
      </c>
    </row>
    <row r="6" spans="2:11" ht="21" x14ac:dyDescent="0.4">
      <c r="B6" s="3"/>
      <c r="C6" s="2"/>
      <c r="E6" s="3" t="s">
        <v>1</v>
      </c>
      <c r="I6" s="144" t="s">
        <v>192</v>
      </c>
      <c r="J6" s="122">
        <v>140</v>
      </c>
    </row>
    <row r="7" spans="2:11" ht="21" x14ac:dyDescent="0.4">
      <c r="B7" s="4" t="s">
        <v>1</v>
      </c>
      <c r="C7" s="5">
        <v>650000</v>
      </c>
      <c r="D7" s="6"/>
      <c r="E7" s="5">
        <f>C7/18</f>
        <v>36111.111111111109</v>
      </c>
      <c r="I7" s="144" t="s">
        <v>193</v>
      </c>
      <c r="J7" s="122">
        <v>130</v>
      </c>
    </row>
    <row r="8" spans="2:11" ht="21" x14ac:dyDescent="0.4">
      <c r="B8" s="4" t="s">
        <v>2</v>
      </c>
      <c r="C8" s="5">
        <v>300000</v>
      </c>
      <c r="D8" s="6"/>
      <c r="E8" s="5">
        <f>C8/18</f>
        <v>16666.666666666668</v>
      </c>
      <c r="I8" s="144" t="s">
        <v>194</v>
      </c>
      <c r="J8" s="122">
        <v>220</v>
      </c>
    </row>
    <row r="9" spans="2:11" ht="21" x14ac:dyDescent="0.4">
      <c r="B9" s="18" t="s">
        <v>94</v>
      </c>
      <c r="C9" s="5">
        <v>0</v>
      </c>
      <c r="D9" s="6"/>
      <c r="E9" s="5">
        <f>C9/5</f>
        <v>0</v>
      </c>
      <c r="I9" s="41" t="s">
        <v>30</v>
      </c>
      <c r="J9" s="122">
        <v>70</v>
      </c>
    </row>
    <row r="10" spans="2:11" ht="21.6" thickBot="1" x14ac:dyDescent="0.45">
      <c r="B10" s="4" t="s">
        <v>13</v>
      </c>
      <c r="C10" s="5">
        <v>35000</v>
      </c>
      <c r="D10" s="6"/>
      <c r="E10" s="5">
        <f>C10</f>
        <v>35000</v>
      </c>
      <c r="I10" s="142" t="s">
        <v>113</v>
      </c>
      <c r="J10" s="143">
        <v>65</v>
      </c>
    </row>
    <row r="11" spans="2:11" ht="21.6" thickTop="1" x14ac:dyDescent="0.4">
      <c r="B11" s="4" t="s">
        <v>14</v>
      </c>
      <c r="C11" s="5">
        <v>80000</v>
      </c>
      <c r="D11" s="6"/>
      <c r="E11" s="5">
        <f>C11</f>
        <v>80000</v>
      </c>
      <c r="F11" s="3"/>
      <c r="I11" s="160" t="s">
        <v>42</v>
      </c>
      <c r="J11" s="161">
        <v>30</v>
      </c>
    </row>
    <row r="12" spans="2:11" ht="21" x14ac:dyDescent="0.4">
      <c r="B12" s="4" t="s">
        <v>15</v>
      </c>
      <c r="C12" s="5">
        <v>18000</v>
      </c>
      <c r="D12" s="6"/>
      <c r="E12" s="5">
        <f>C12</f>
        <v>18000</v>
      </c>
      <c r="F12" s="3"/>
      <c r="I12" s="219"/>
      <c r="J12" s="219"/>
      <c r="K12" s="114"/>
    </row>
    <row r="13" spans="2:11" ht="21" x14ac:dyDescent="0.4">
      <c r="B13" s="4" t="s">
        <v>122</v>
      </c>
      <c r="C13" s="5">
        <v>30000</v>
      </c>
      <c r="D13" s="6"/>
      <c r="E13" s="5">
        <f>C13</f>
        <v>30000</v>
      </c>
      <c r="F13" s="3"/>
      <c r="I13" s="60"/>
      <c r="J13" s="140"/>
      <c r="K13" s="2"/>
    </row>
    <row r="14" spans="2:11" ht="21" x14ac:dyDescent="0.4">
      <c r="B14" s="3" t="s">
        <v>6</v>
      </c>
      <c r="C14" s="2"/>
      <c r="E14" s="11">
        <f>E15*5%</f>
        <v>10788.888888888891</v>
      </c>
      <c r="F14" s="3"/>
      <c r="I14" s="1"/>
      <c r="J14" s="2"/>
      <c r="K14" s="2"/>
    </row>
    <row r="15" spans="2:11" ht="21.6" thickBot="1" x14ac:dyDescent="0.45">
      <c r="B15" s="3" t="s">
        <v>7</v>
      </c>
      <c r="C15" s="2"/>
      <c r="E15" s="12">
        <f>E7+E8+E11+E10+E12+E13+E9</f>
        <v>215777.77777777778</v>
      </c>
      <c r="F15" s="3"/>
      <c r="I15" s="141"/>
      <c r="J15" s="140"/>
      <c r="K15" s="2"/>
    </row>
    <row r="16" spans="2:11" ht="21.6" thickTop="1" x14ac:dyDescent="0.4">
      <c r="B16" s="3" t="s">
        <v>8</v>
      </c>
      <c r="C16" s="2"/>
      <c r="E16" s="14">
        <f>E15+E14</f>
        <v>226566.66666666669</v>
      </c>
      <c r="F16" s="3"/>
      <c r="I16" s="141"/>
      <c r="J16" s="140"/>
      <c r="K16" s="2"/>
    </row>
    <row r="17" spans="2:11" ht="21" x14ac:dyDescent="0.4">
      <c r="B17" s="3" t="s">
        <v>9</v>
      </c>
      <c r="C17" s="2"/>
      <c r="E17" s="14">
        <f>E16/3500</f>
        <v>64.733333333333334</v>
      </c>
      <c r="F17" s="3"/>
      <c r="I17" s="141"/>
      <c r="J17" s="140"/>
      <c r="K17" s="2"/>
    </row>
    <row r="18" spans="2:11" ht="21" x14ac:dyDescent="0.4">
      <c r="I18" s="60"/>
      <c r="J18" s="140"/>
      <c r="K18" s="2"/>
    </row>
    <row r="19" spans="2:11" ht="21" x14ac:dyDescent="0.4">
      <c r="B19" s="149" t="s">
        <v>113</v>
      </c>
      <c r="C19" s="150"/>
      <c r="D19" s="151"/>
      <c r="E19" s="150"/>
      <c r="K19" s="2"/>
    </row>
    <row r="20" spans="2:11" ht="21" x14ac:dyDescent="0.4">
      <c r="B20" s="152"/>
      <c r="C20" s="150"/>
      <c r="D20" s="151"/>
      <c r="E20" s="152" t="s">
        <v>1</v>
      </c>
    </row>
    <row r="21" spans="2:11" ht="21" x14ac:dyDescent="0.4">
      <c r="B21" s="153" t="s">
        <v>53</v>
      </c>
      <c r="C21" s="154">
        <v>600000</v>
      </c>
      <c r="D21" s="155"/>
      <c r="E21" s="154">
        <f>C21/18</f>
        <v>33333.333333333336</v>
      </c>
    </row>
    <row r="22" spans="2:11" ht="21" x14ac:dyDescent="0.4">
      <c r="B22" s="153" t="s">
        <v>2</v>
      </c>
      <c r="C22" s="154">
        <v>300000</v>
      </c>
      <c r="D22" s="155"/>
      <c r="E22" s="154">
        <f>C22/18</f>
        <v>16666.666666666668</v>
      </c>
    </row>
    <row r="23" spans="2:11" ht="21" x14ac:dyDescent="0.4">
      <c r="B23" s="156" t="s">
        <v>121</v>
      </c>
      <c r="C23" s="154">
        <v>30000</v>
      </c>
      <c r="D23" s="155"/>
      <c r="E23" s="154">
        <f>C23</f>
        <v>30000</v>
      </c>
    </row>
    <row r="24" spans="2:11" ht="21" x14ac:dyDescent="0.4">
      <c r="B24" s="153" t="s">
        <v>4</v>
      </c>
      <c r="C24" s="154">
        <v>70000</v>
      </c>
      <c r="D24" s="155"/>
      <c r="E24" s="154">
        <f>C24</f>
        <v>70000</v>
      </c>
    </row>
    <row r="25" spans="2:11" ht="21" x14ac:dyDescent="0.4">
      <c r="B25" s="153" t="s">
        <v>5</v>
      </c>
      <c r="C25" s="154">
        <v>30000</v>
      </c>
      <c r="D25" s="155"/>
      <c r="E25" s="154">
        <f>C25</f>
        <v>30000</v>
      </c>
    </row>
    <row r="26" spans="2:11" ht="21" x14ac:dyDescent="0.4">
      <c r="B26" s="152" t="s">
        <v>6</v>
      </c>
      <c r="C26" s="150"/>
      <c r="D26" s="151"/>
      <c r="E26" s="157">
        <f>E27*10%</f>
        <v>18000</v>
      </c>
    </row>
    <row r="27" spans="2:11" ht="21.6" thickBot="1" x14ac:dyDescent="0.45">
      <c r="B27" s="152" t="s">
        <v>7</v>
      </c>
      <c r="C27" s="150"/>
      <c r="D27" s="151"/>
      <c r="E27" s="158">
        <f>E21+E22+E24+E25+E23</f>
        <v>180000</v>
      </c>
    </row>
    <row r="28" spans="2:11" ht="21.6" thickTop="1" x14ac:dyDescent="0.4">
      <c r="B28" s="152" t="s">
        <v>8</v>
      </c>
      <c r="C28" s="150"/>
      <c r="D28" s="151"/>
      <c r="E28" s="159">
        <f>E27+E26</f>
        <v>198000</v>
      </c>
    </row>
    <row r="29" spans="2:11" ht="21" x14ac:dyDescent="0.4">
      <c r="B29" s="152" t="s">
        <v>9</v>
      </c>
      <c r="C29" s="150"/>
      <c r="D29" s="151"/>
      <c r="E29" s="159">
        <f>E28/3500</f>
        <v>56.571428571428569</v>
      </c>
    </row>
    <row r="30" spans="2:11" x14ac:dyDescent="0.3">
      <c r="B30" s="151"/>
      <c r="C30" s="151"/>
      <c r="D30" s="151"/>
      <c r="E30" s="151"/>
    </row>
    <row r="32" spans="2:11" ht="21" x14ac:dyDescent="0.4">
      <c r="B32" s="1" t="s">
        <v>30</v>
      </c>
      <c r="C32" s="2">
        <v>60</v>
      </c>
      <c r="E32" s="2"/>
    </row>
    <row r="33" spans="2:7" ht="21" x14ac:dyDescent="0.4">
      <c r="B33" s="3"/>
      <c r="C33" s="2"/>
      <c r="E33" s="3" t="s">
        <v>1</v>
      </c>
    </row>
    <row r="34" spans="2:7" ht="21" x14ac:dyDescent="0.4">
      <c r="B34" s="4" t="s">
        <v>28</v>
      </c>
      <c r="C34" s="5">
        <v>400000</v>
      </c>
      <c r="D34" s="6"/>
      <c r="E34" s="5">
        <f>C34/18</f>
        <v>22222.222222222223</v>
      </c>
      <c r="G34">
        <f>60+60+30</f>
        <v>150</v>
      </c>
    </row>
    <row r="35" spans="2:7" ht="21" x14ac:dyDescent="0.4">
      <c r="B35" s="4" t="s">
        <v>2</v>
      </c>
      <c r="C35" s="5">
        <v>200000</v>
      </c>
      <c r="D35" s="6"/>
      <c r="E35" s="5">
        <f>C35/5</f>
        <v>40000</v>
      </c>
      <c r="G35">
        <f>G34*4000</f>
        <v>600000</v>
      </c>
    </row>
    <row r="36" spans="2:7" ht="21" x14ac:dyDescent="0.4">
      <c r="B36" s="18" t="s">
        <v>27</v>
      </c>
      <c r="C36" s="5">
        <v>20000</v>
      </c>
      <c r="D36" s="6"/>
      <c r="E36" s="5">
        <f>C36</f>
        <v>20000</v>
      </c>
      <c r="G36">
        <f>330000</f>
        <v>330000</v>
      </c>
    </row>
    <row r="37" spans="2:7" ht="21" x14ac:dyDescent="0.4">
      <c r="B37" s="4" t="s">
        <v>98</v>
      </c>
      <c r="C37" s="5">
        <v>130000</v>
      </c>
      <c r="D37" s="6"/>
      <c r="E37" s="5">
        <f>C37</f>
        <v>130000</v>
      </c>
      <c r="G37" s="138">
        <f>G35-G36</f>
        <v>270000</v>
      </c>
    </row>
    <row r="38" spans="2:7" ht="21" x14ac:dyDescent="0.4">
      <c r="B38" s="4" t="s">
        <v>5</v>
      </c>
      <c r="C38" s="5">
        <v>0</v>
      </c>
      <c r="D38" s="6"/>
      <c r="E38" s="5">
        <f>C38</f>
        <v>0</v>
      </c>
    </row>
    <row r="39" spans="2:7" ht="21" x14ac:dyDescent="0.4">
      <c r="B39" s="3" t="s">
        <v>6</v>
      </c>
      <c r="C39" s="2"/>
      <c r="E39" s="11">
        <f>E40*10%</f>
        <v>21222.222222222223</v>
      </c>
    </row>
    <row r="40" spans="2:7" ht="21.6" thickBot="1" x14ac:dyDescent="0.45">
      <c r="B40" s="3" t="s">
        <v>7</v>
      </c>
      <c r="C40" s="2"/>
      <c r="E40" s="12">
        <f>E34+E35+E37+E38+E36</f>
        <v>212222.22222222222</v>
      </c>
    </row>
    <row r="41" spans="2:7" ht="21.6" thickTop="1" x14ac:dyDescent="0.4">
      <c r="B41" s="3" t="s">
        <v>8</v>
      </c>
      <c r="C41" s="2"/>
      <c r="E41" s="14">
        <f>E40+E39</f>
        <v>233444.44444444444</v>
      </c>
    </row>
    <row r="42" spans="2:7" ht="21" x14ac:dyDescent="0.4">
      <c r="B42" s="3" t="s">
        <v>9</v>
      </c>
      <c r="C42" s="2"/>
      <c r="E42" s="14">
        <f>E41/3500</f>
        <v>66.698412698412696</v>
      </c>
    </row>
    <row r="45" spans="2:7" ht="21" x14ac:dyDescent="0.4">
      <c r="B45" s="15" t="s">
        <v>38</v>
      </c>
      <c r="C45" s="16">
        <v>20</v>
      </c>
      <c r="E45" s="2"/>
    </row>
    <row r="46" spans="2:7" ht="21" x14ac:dyDescent="0.4">
      <c r="B46" s="3"/>
      <c r="C46" s="2"/>
      <c r="E46" s="3" t="s">
        <v>1</v>
      </c>
    </row>
    <row r="47" spans="2:7" ht="21" x14ac:dyDescent="0.4">
      <c r="B47" s="4" t="s">
        <v>1</v>
      </c>
      <c r="C47" s="5">
        <f>350000*2</f>
        <v>700000</v>
      </c>
      <c r="E47" s="5">
        <f>C47/18</f>
        <v>38888.888888888891</v>
      </c>
    </row>
    <row r="48" spans="2:7" ht="21" x14ac:dyDescent="0.4">
      <c r="B48" s="4" t="s">
        <v>5</v>
      </c>
      <c r="C48" s="5">
        <v>10000</v>
      </c>
      <c r="E48" s="5">
        <f>C48</f>
        <v>10000</v>
      </c>
    </row>
    <row r="49" spans="2:11" ht="21" x14ac:dyDescent="0.4">
      <c r="B49" s="4" t="s">
        <v>2</v>
      </c>
      <c r="C49" s="5">
        <v>200000</v>
      </c>
      <c r="E49" s="5">
        <f>C49/5</f>
        <v>40000</v>
      </c>
    </row>
    <row r="50" spans="2:11" ht="21" x14ac:dyDescent="0.4">
      <c r="B50" s="3" t="s">
        <v>6</v>
      </c>
      <c r="C50" s="2"/>
      <c r="E50" s="11">
        <f>E51*10%</f>
        <v>8888.8888888888887</v>
      </c>
    </row>
    <row r="51" spans="2:11" ht="21.6" thickBot="1" x14ac:dyDescent="0.45">
      <c r="B51" s="3" t="s">
        <v>7</v>
      </c>
      <c r="C51" s="2"/>
      <c r="E51" s="12">
        <f>E47+E48+E49</f>
        <v>88888.888888888891</v>
      </c>
    </row>
    <row r="52" spans="2:11" ht="21.6" thickTop="1" x14ac:dyDescent="0.4">
      <c r="B52" s="3" t="s">
        <v>8</v>
      </c>
      <c r="C52" s="2"/>
      <c r="E52" s="14">
        <f>E51+E50</f>
        <v>97777.777777777781</v>
      </c>
    </row>
    <row r="53" spans="2:11" ht="21" x14ac:dyDescent="0.4">
      <c r="B53" s="3" t="s">
        <v>9</v>
      </c>
      <c r="C53" s="2"/>
      <c r="E53" s="17">
        <f>E52/3500</f>
        <v>27.936507936507937</v>
      </c>
    </row>
    <row r="56" spans="2:11" ht="21" x14ac:dyDescent="0.4">
      <c r="B56" s="1" t="s">
        <v>188</v>
      </c>
      <c r="C56" s="2">
        <v>140</v>
      </c>
      <c r="E56" s="2"/>
    </row>
    <row r="57" spans="2:11" ht="21" x14ac:dyDescent="0.4">
      <c r="B57" s="3"/>
      <c r="C57" s="2"/>
      <c r="E57" s="3" t="s">
        <v>1</v>
      </c>
    </row>
    <row r="58" spans="2:11" ht="21" x14ac:dyDescent="0.4">
      <c r="B58" s="4" t="s">
        <v>28</v>
      </c>
      <c r="C58" s="5">
        <v>200000</v>
      </c>
      <c r="D58" s="6"/>
      <c r="E58" s="5">
        <f>C58/18</f>
        <v>11111.111111111111</v>
      </c>
      <c r="G58" s="19"/>
      <c r="K58">
        <f>690000/4000</f>
        <v>172.5</v>
      </c>
    </row>
    <row r="59" spans="2:11" ht="21" x14ac:dyDescent="0.4">
      <c r="B59" s="4" t="s">
        <v>2</v>
      </c>
      <c r="C59" s="5">
        <v>300000</v>
      </c>
      <c r="D59" s="6"/>
      <c r="E59" s="5">
        <f>C59/18</f>
        <v>16666.666666666668</v>
      </c>
      <c r="G59" s="19"/>
    </row>
    <row r="60" spans="2:11" ht="21" x14ac:dyDescent="0.4">
      <c r="B60" s="18" t="s">
        <v>27</v>
      </c>
      <c r="C60" s="5">
        <v>30000</v>
      </c>
      <c r="D60" s="6"/>
      <c r="E60" s="5">
        <f>C60</f>
        <v>30000</v>
      </c>
      <c r="G60" s="19"/>
    </row>
    <row r="61" spans="2:11" ht="21" x14ac:dyDescent="0.4">
      <c r="B61" s="4" t="s">
        <v>33</v>
      </c>
      <c r="C61" s="5">
        <v>690000</v>
      </c>
      <c r="D61" s="6"/>
      <c r="E61" s="5">
        <f>C61</f>
        <v>690000</v>
      </c>
      <c r="G61" s="19"/>
    </row>
    <row r="62" spans="2:11" ht="21" x14ac:dyDescent="0.4">
      <c r="B62" s="4" t="s">
        <v>5</v>
      </c>
      <c r="C62" s="5">
        <v>0</v>
      </c>
      <c r="D62" s="6"/>
      <c r="E62" s="5">
        <f>C62</f>
        <v>0</v>
      </c>
      <c r="G62" s="19"/>
    </row>
    <row r="63" spans="2:11" ht="21" x14ac:dyDescent="0.4">
      <c r="B63" s="3" t="s">
        <v>6</v>
      </c>
      <c r="C63" s="2"/>
      <c r="E63" s="11">
        <f>E64*5%</f>
        <v>35888.888888888891</v>
      </c>
      <c r="H63" s="19"/>
    </row>
    <row r="64" spans="2:11" ht="21.6" thickBot="1" x14ac:dyDescent="0.45">
      <c r="B64" s="3" t="s">
        <v>7</v>
      </c>
      <c r="C64" s="2"/>
      <c r="E64" s="12">
        <f>E58+E59+E61+E62</f>
        <v>717777.77777777775</v>
      </c>
    </row>
    <row r="65" spans="2:5" ht="21.6" thickTop="1" x14ac:dyDescent="0.4">
      <c r="B65" s="3" t="s">
        <v>8</v>
      </c>
      <c r="C65" s="2"/>
      <c r="E65" s="14">
        <f>E64+E63</f>
        <v>753666.66666666663</v>
      </c>
    </row>
    <row r="66" spans="2:5" ht="21" x14ac:dyDescent="0.4">
      <c r="B66" s="3" t="s">
        <v>9</v>
      </c>
      <c r="C66" s="2"/>
      <c r="E66" s="14">
        <f>E65/3500</f>
        <v>215.33333333333331</v>
      </c>
    </row>
    <row r="69" spans="2:5" ht="21" x14ac:dyDescent="0.4">
      <c r="B69" s="1" t="s">
        <v>189</v>
      </c>
      <c r="C69" s="2">
        <v>140</v>
      </c>
      <c r="E69" s="2"/>
    </row>
    <row r="70" spans="2:5" ht="21" x14ac:dyDescent="0.4">
      <c r="B70" s="3"/>
      <c r="C70" s="2"/>
      <c r="E70" s="3" t="s">
        <v>1</v>
      </c>
    </row>
    <row r="71" spans="2:5" ht="21" x14ac:dyDescent="0.4">
      <c r="B71" s="4" t="s">
        <v>28</v>
      </c>
      <c r="C71" s="5">
        <v>200000</v>
      </c>
      <c r="D71" s="6"/>
      <c r="E71" s="5">
        <f>C71/18</f>
        <v>11111.111111111111</v>
      </c>
    </row>
    <row r="72" spans="2:5" ht="21" x14ac:dyDescent="0.4">
      <c r="B72" s="4" t="s">
        <v>2</v>
      </c>
      <c r="C72" s="5">
        <v>300000</v>
      </c>
      <c r="D72" s="6"/>
      <c r="E72" s="5">
        <f>C72/18</f>
        <v>16666.666666666668</v>
      </c>
    </row>
    <row r="73" spans="2:5" ht="21" x14ac:dyDescent="0.4">
      <c r="B73" s="18" t="s">
        <v>27</v>
      </c>
      <c r="C73" s="5">
        <v>30000</v>
      </c>
      <c r="D73" s="6"/>
      <c r="E73" s="5">
        <f>C73</f>
        <v>30000</v>
      </c>
    </row>
    <row r="74" spans="2:5" ht="21" x14ac:dyDescent="0.4">
      <c r="B74" s="4" t="s">
        <v>33</v>
      </c>
      <c r="C74" s="5">
        <v>360000</v>
      </c>
      <c r="D74" s="6"/>
      <c r="E74" s="5">
        <f>C74</f>
        <v>360000</v>
      </c>
    </row>
    <row r="75" spans="2:5" ht="21" x14ac:dyDescent="0.4">
      <c r="B75" s="4" t="s">
        <v>5</v>
      </c>
      <c r="C75" s="5">
        <v>0</v>
      </c>
      <c r="D75" s="6"/>
      <c r="E75" s="5">
        <f>C75</f>
        <v>0</v>
      </c>
    </row>
    <row r="76" spans="2:5" ht="21" x14ac:dyDescent="0.4">
      <c r="B76" s="3" t="s">
        <v>6</v>
      </c>
      <c r="C76" s="2"/>
      <c r="E76" s="11">
        <f>E77*5%</f>
        <v>19388.888888888887</v>
      </c>
    </row>
    <row r="77" spans="2:5" ht="21.6" thickBot="1" x14ac:dyDescent="0.45">
      <c r="B77" s="3" t="s">
        <v>7</v>
      </c>
      <c r="C77" s="2"/>
      <c r="E77" s="12">
        <f>E71+E72+E74+E75</f>
        <v>387777.77777777775</v>
      </c>
    </row>
    <row r="78" spans="2:5" ht="21.6" thickTop="1" x14ac:dyDescent="0.4">
      <c r="B78" s="3" t="s">
        <v>8</v>
      </c>
      <c r="C78" s="2"/>
      <c r="E78" s="14">
        <f>E77+E76</f>
        <v>407166.66666666663</v>
      </c>
    </row>
    <row r="79" spans="2:5" ht="21" x14ac:dyDescent="0.4">
      <c r="B79" s="3" t="s">
        <v>9</v>
      </c>
      <c r="C79" s="2"/>
      <c r="E79" s="14">
        <f>E78/3500</f>
        <v>116.33333333333333</v>
      </c>
    </row>
    <row r="82" spans="2:5" ht="21" x14ac:dyDescent="0.4">
      <c r="B82" s="1" t="s">
        <v>190</v>
      </c>
      <c r="C82" s="2">
        <v>140</v>
      </c>
      <c r="E82" s="2"/>
    </row>
    <row r="83" spans="2:5" ht="21" x14ac:dyDescent="0.4">
      <c r="B83" s="3"/>
      <c r="C83" s="2"/>
      <c r="E83" s="3" t="s">
        <v>1</v>
      </c>
    </row>
    <row r="84" spans="2:5" ht="21" x14ac:dyDescent="0.4">
      <c r="B84" s="4" t="s">
        <v>28</v>
      </c>
      <c r="C84" s="5">
        <v>500000</v>
      </c>
      <c r="D84" s="6"/>
      <c r="E84" s="5">
        <f>C84/18</f>
        <v>27777.777777777777</v>
      </c>
    </row>
    <row r="85" spans="2:5" ht="21" x14ac:dyDescent="0.4">
      <c r="B85" s="4" t="s">
        <v>2</v>
      </c>
      <c r="C85" s="5">
        <v>300000</v>
      </c>
      <c r="D85" s="6"/>
      <c r="E85" s="5">
        <f>C85/18</f>
        <v>16666.666666666668</v>
      </c>
    </row>
    <row r="86" spans="2:5" ht="21" x14ac:dyDescent="0.4">
      <c r="B86" s="18" t="s">
        <v>27</v>
      </c>
      <c r="C86" s="5">
        <v>30000</v>
      </c>
      <c r="D86" s="6"/>
      <c r="E86" s="5">
        <f>C86</f>
        <v>30000</v>
      </c>
    </row>
    <row r="87" spans="2:5" ht="21" x14ac:dyDescent="0.4">
      <c r="B87" s="4" t="s">
        <v>191</v>
      </c>
      <c r="C87" s="5">
        <v>420000</v>
      </c>
      <c r="D87" s="6"/>
      <c r="E87" s="5">
        <f>C87</f>
        <v>420000</v>
      </c>
    </row>
    <row r="88" spans="2:5" ht="21" x14ac:dyDescent="0.4">
      <c r="B88" s="4" t="s">
        <v>5</v>
      </c>
      <c r="C88" s="5">
        <v>0</v>
      </c>
      <c r="D88" s="6"/>
      <c r="E88" s="5">
        <f>C88</f>
        <v>0</v>
      </c>
    </row>
    <row r="89" spans="2:5" ht="21" x14ac:dyDescent="0.4">
      <c r="B89" s="3" t="s">
        <v>6</v>
      </c>
      <c r="C89" s="2"/>
      <c r="E89" s="11">
        <f>E90*5%</f>
        <v>23222.222222222223</v>
      </c>
    </row>
    <row r="90" spans="2:5" ht="21.6" thickBot="1" x14ac:dyDescent="0.45">
      <c r="B90" s="3" t="s">
        <v>7</v>
      </c>
      <c r="C90" s="2"/>
      <c r="E90" s="12">
        <f>E84+E85+E87+E88</f>
        <v>464444.44444444444</v>
      </c>
    </row>
    <row r="91" spans="2:5" ht="21.6" thickTop="1" x14ac:dyDescent="0.4">
      <c r="B91" s="3" t="s">
        <v>8</v>
      </c>
      <c r="C91" s="2"/>
      <c r="E91" s="14">
        <f>E90+E89</f>
        <v>487666.66666666669</v>
      </c>
    </row>
    <row r="92" spans="2:5" ht="21" x14ac:dyDescent="0.4">
      <c r="B92" s="3" t="s">
        <v>9</v>
      </c>
      <c r="C92" s="2"/>
      <c r="E92" s="14">
        <f>E91/3500</f>
        <v>139.33333333333334</v>
      </c>
    </row>
    <row r="95" spans="2:5" ht="21" x14ac:dyDescent="0.4">
      <c r="B95" s="1" t="s">
        <v>23</v>
      </c>
      <c r="C95" s="2">
        <v>140</v>
      </c>
      <c r="E95" s="2"/>
    </row>
    <row r="96" spans="2:5" ht="21" x14ac:dyDescent="0.4">
      <c r="B96" s="3"/>
      <c r="C96" s="2"/>
      <c r="E96" s="3" t="s">
        <v>1</v>
      </c>
    </row>
    <row r="97" spans="2:5" ht="21" x14ac:dyDescent="0.4">
      <c r="B97" s="4" t="s">
        <v>28</v>
      </c>
      <c r="C97" s="5">
        <v>0</v>
      </c>
      <c r="D97" s="6"/>
      <c r="E97" s="5">
        <f>C97/18</f>
        <v>0</v>
      </c>
    </row>
    <row r="98" spans="2:5" ht="21" x14ac:dyDescent="0.4">
      <c r="B98" s="4" t="s">
        <v>2</v>
      </c>
      <c r="C98" s="5">
        <v>300000</v>
      </c>
      <c r="D98" s="6"/>
      <c r="E98" s="5">
        <f>C98/18</f>
        <v>16666.666666666668</v>
      </c>
    </row>
    <row r="99" spans="2:5" ht="21" x14ac:dyDescent="0.4">
      <c r="B99" s="18" t="s">
        <v>27</v>
      </c>
      <c r="C99" s="5">
        <v>0</v>
      </c>
      <c r="D99" s="6"/>
      <c r="E99" s="5">
        <f>C99</f>
        <v>0</v>
      </c>
    </row>
    <row r="100" spans="2:5" ht="21" x14ac:dyDescent="0.4">
      <c r="B100" s="4" t="s">
        <v>197</v>
      </c>
      <c r="C100" s="5">
        <v>25000</v>
      </c>
      <c r="D100" s="6"/>
      <c r="E100" s="5">
        <f>C100</f>
        <v>25000</v>
      </c>
    </row>
    <row r="101" spans="2:5" ht="21" x14ac:dyDescent="0.4">
      <c r="B101" s="4" t="s">
        <v>5</v>
      </c>
      <c r="C101" s="5">
        <v>30000</v>
      </c>
      <c r="D101" s="6"/>
      <c r="E101" s="5">
        <f>C101</f>
        <v>30000</v>
      </c>
    </row>
    <row r="102" spans="2:5" ht="21" x14ac:dyDescent="0.4">
      <c r="B102" s="3" t="s">
        <v>6</v>
      </c>
      <c r="C102" s="2"/>
      <c r="E102" s="11">
        <f>E103*5%</f>
        <v>3583.3333333333339</v>
      </c>
    </row>
    <row r="103" spans="2:5" ht="21.6" thickBot="1" x14ac:dyDescent="0.45">
      <c r="B103" s="3" t="s">
        <v>7</v>
      </c>
      <c r="C103" s="2"/>
      <c r="E103" s="12">
        <f>E97+E98+E100+E101</f>
        <v>71666.666666666672</v>
      </c>
    </row>
    <row r="104" spans="2:5" ht="21.6" thickTop="1" x14ac:dyDescent="0.4">
      <c r="B104" s="3" t="s">
        <v>8</v>
      </c>
      <c r="C104" s="2"/>
      <c r="E104" s="14">
        <f>E103+E102</f>
        <v>75250</v>
      </c>
    </row>
    <row r="105" spans="2:5" ht="21" x14ac:dyDescent="0.4">
      <c r="B105" s="3" t="s">
        <v>9</v>
      </c>
      <c r="C105" s="2"/>
      <c r="E105" s="14">
        <f>E104/3500</f>
        <v>21.5</v>
      </c>
    </row>
  </sheetData>
  <mergeCells count="3">
    <mergeCell ref="B3:E3"/>
    <mergeCell ref="I3:J3"/>
    <mergeCell ref="I12:J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EDGAR SEP2024</vt:lpstr>
      <vt:lpstr>EDGAR OCTUBRE</vt:lpstr>
      <vt:lpstr>JORGENOV</vt:lpstr>
      <vt:lpstr>EDGAR ENERO</vt:lpstr>
      <vt:lpstr>MARTHA MAYO</vt:lpstr>
      <vt:lpstr>OCTUBRE CR</vt:lpstr>
      <vt:lpstr>EDGAR JUNIO </vt:lpstr>
      <vt:lpstr>KATRINA-NOV</vt:lpstr>
      <vt:lpstr>CHECHO JULIO </vt:lpstr>
      <vt:lpstr>CARLOS JULIO </vt:lpstr>
      <vt:lpstr>CARTAGENA JULIO</vt:lpstr>
      <vt:lpstr>FEBRERO FRANTI</vt:lpstr>
      <vt:lpstr>DIC-ENE EDGAR3</vt:lpstr>
      <vt:lpstr>DIC-ENE EDGAR10</vt:lpstr>
      <vt:lpstr>DIC4-8</vt:lpstr>
      <vt:lpstr>MARZO17-22</vt:lpstr>
      <vt:lpstr>CARLOSDICIEMBRE</vt:lpstr>
      <vt:lpstr>Hoja1</vt:lpstr>
      <vt:lpstr>EDGARJULIO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Elias Garcia Zurique</dc:creator>
  <cp:lastModifiedBy>Marladi Zurique</cp:lastModifiedBy>
  <dcterms:created xsi:type="dcterms:W3CDTF">2024-08-26T17:00:01Z</dcterms:created>
  <dcterms:modified xsi:type="dcterms:W3CDTF">2025-04-28T04:11:59Z</dcterms:modified>
</cp:coreProperties>
</file>