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92F5C08-37DE-495F-A9C3-E78D2D542616}" xr6:coauthVersionLast="47" xr6:coauthVersionMax="47" xr10:uidLastSave="{00000000-0000-0000-0000-000000000000}"/>
  <bookViews>
    <workbookView xWindow="-108" yWindow="-108" windowWidth="23256" windowHeight="13896" activeTab="1" xr2:uid="{B865DBBC-9E05-4F6D-BDCE-7BEE4B9DCEDA}"/>
  </bookViews>
  <sheets>
    <sheet name="PAGOS RECIBIDOS" sheetId="1" r:id="rId1"/>
    <sheet name="ENERO" sheetId="13" r:id="rId2"/>
    <sheet name="MARZO" sheetId="12" r:id="rId3"/>
    <sheet name="ABRIL" sheetId="2" r:id="rId4"/>
    <sheet name="MAYO" sheetId="3" r:id="rId5"/>
    <sheet name="JUNIO" sheetId="4" r:id="rId6"/>
    <sheet name="JULIO" sheetId="5" r:id="rId7"/>
    <sheet name="AGOSTO" sheetId="6" r:id="rId8"/>
    <sheet name="SEPTIEMBRE" sheetId="7" r:id="rId9"/>
    <sheet name="OCTUBRE" sheetId="8" r:id="rId10"/>
    <sheet name="NOVIEMBRE " sheetId="9" r:id="rId11"/>
    <sheet name="DICIEMBRE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3" l="1"/>
  <c r="D10" i="1" l="1"/>
</calcChain>
</file>

<file path=xl/sharedStrings.xml><?xml version="1.0" encoding="utf-8"?>
<sst xmlns="http://schemas.openxmlformats.org/spreadsheetml/2006/main" count="90" uniqueCount="60">
  <si>
    <t xml:space="preserve">FECHA </t>
  </si>
  <si>
    <t xml:space="preserve">CLIENTE </t>
  </si>
  <si>
    <t>GRUPO</t>
  </si>
  <si>
    <t xml:space="preserve">TOTAL CONSIGNACIONES </t>
  </si>
  <si>
    <t>FECHA</t>
  </si>
  <si>
    <t xml:space="preserve">NOMBRE Y/O RAZON SOCIAL </t>
  </si>
  <si>
    <t>CONCEPTO</t>
  </si>
  <si>
    <t>DOCUMENTO</t>
  </si>
  <si>
    <t>VALOR</t>
  </si>
  <si>
    <t xml:space="preserve">MEDIO DE PAGO </t>
  </si>
  <si>
    <t>BANCO</t>
  </si>
  <si>
    <t>REFERENCIA DE PAGO</t>
  </si>
  <si>
    <t xml:space="preserve">CLAUDIA FLOREZ </t>
  </si>
  <si>
    <t>RUT</t>
  </si>
  <si>
    <t>Pago de servicios del grupo excalibur del 18 - 22 marzo 2 personas.
City tour, Tour de Compras, Guatapé y traslados Aeropuerto - Hotel Aeropuerto.</t>
  </si>
  <si>
    <t>DAVIVIENDA</t>
  </si>
  <si>
    <t>EXCALIBUR</t>
  </si>
  <si>
    <t>CRUCERO 18 DE ENERO</t>
  </si>
  <si>
    <t>CONSIGNACION DOLARES</t>
  </si>
  <si>
    <t xml:space="preserve">CONSIGNACION PESOS </t>
  </si>
  <si>
    <t>GRUPO 18-22 MARZO</t>
  </si>
  <si>
    <t>Colombiana de Asistencia S.A.S</t>
  </si>
  <si>
    <t>NIT</t>
  </si>
  <si>
    <t>900015278-0</t>
  </si>
  <si>
    <t>Pago de servicio de seguro, Producto: colasistencia visitor - Días: 1  Desde 18-01-26 - hasta el 18-01-26.</t>
  </si>
  <si>
    <t>BANCOLOMBIA</t>
  </si>
  <si>
    <t>TRANSFERENCIA INTERBANCARIA CUENTA AHORROS PERSONAL MARLADI ZURIQUE</t>
  </si>
  <si>
    <t>TRANSFERENCIA INTERBANCARIA CUENTA AHORROS EMPRESARIAL CC&amp;G</t>
  </si>
  <si>
    <t xml:space="preserve">OSHPITALITY GROUP S.A.S. </t>
  </si>
  <si>
    <t xml:space="preserve">NIT </t>
  </si>
  <si>
    <t>901645415-1</t>
  </si>
  <si>
    <t>3883
4565
5389
069575</t>
  </si>
  <si>
    <t>DAVIVIENDA
BANCOLOMBIA</t>
  </si>
  <si>
    <t>ALMUERZO HOTEL OSH DEL GRUPO EXCALIBUR CHIVA</t>
  </si>
  <si>
    <t>REINA SANCHEZ BELEÑO</t>
  </si>
  <si>
    <t>BRYAN SAMUEL JAIRO VILLAMIZAR MENDOZA</t>
  </si>
  <si>
    <t>1051418644-5</t>
  </si>
  <si>
    <t>Pago de servicio de Guianza grupo excalibur chiva</t>
  </si>
  <si>
    <t>EFECTIVO</t>
  </si>
  <si>
    <t>Pago de servicio de transporte (CHIVA), Servicio de staff y tiquete de uso de puerto.</t>
  </si>
  <si>
    <t>INVERSIONES MV S.A.S.</t>
  </si>
  <si>
    <t>901176596-2</t>
  </si>
  <si>
    <t>Compra de bebidas tipo agua * 8 pacas, Coca Cola Regulay sin Azucar + 2 pacas, Cerveza Aguila * 5 pacas y Bbida Gatorade * 5 pacas</t>
  </si>
  <si>
    <t>Compra de bebidas tipo cerveza club Colombia * 5 pacas</t>
  </si>
  <si>
    <t xml:space="preserve">Bebida tipo Gatorade * 2 pacas </t>
  </si>
  <si>
    <t>PAGO CON TARJETA  CUENTA AHORROS EMPRESARIAL CC&amp;G
TRANSFERENCIA CORRSPONSAL BANCARIO.</t>
  </si>
  <si>
    <t>TOTAL</t>
  </si>
  <si>
    <t>INVERSIONES PINARI</t>
  </si>
  <si>
    <t>COMPRA DE HIELO BOLSA POR 20 KILOS *4</t>
  </si>
  <si>
    <t xml:space="preserve">GUIDO ALFONSO AGUILAR RIOS </t>
  </si>
  <si>
    <t>73156252-5</t>
  </si>
  <si>
    <t>PAGO DE SERVICIO DE STAFF GRUPO EXCALIBUR CHIVA</t>
  </si>
  <si>
    <t>RAFAEL ENRIQUE HARRIS ORTEGA</t>
  </si>
  <si>
    <t xml:space="preserve">MARLADI ZURIQUE TORRES </t>
  </si>
  <si>
    <t>32906108-2</t>
  </si>
  <si>
    <t>PAGO DE SERVICIO DE STAFF Y GUIANZA GRUPO EXCALIBUR CHIVA</t>
  </si>
  <si>
    <t>PAGO SERVICIO DE TRANSPORTES VARIOS (BEBIDAS Y PERSONAL DE APOYO) * 2 DIAS 
VEHICULO: TOYOTA LINEA HILUX MODELO 2012 PLACA KMS663</t>
  </si>
  <si>
    <t>TIPO DE DOCUMENTO</t>
  </si>
  <si>
    <t>NUMERO DE DOCUMENTO</t>
  </si>
  <si>
    <t xml:space="preserve">REFERENCIA DE PAGO / DOCUMENTO DE SOPORTE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</si>
</sst>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164" fontId="3" fillId="0" borderId="0" xfId="0" applyNumberFormat="1" applyFont="1"/>
    <xf numFmtId="164" fontId="4" fillId="2" borderId="0" xfId="0" applyNumberFormat="1" applyFont="1" applyFill="1"/>
    <xf numFmtId="16" fontId="3" fillId="0" borderId="0" xfId="0" applyNumberFormat="1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164" fontId="2" fillId="0" borderId="0" xfId="0" applyNumberFormat="1" applyFont="1" applyAlignment="1">
      <alignment horizontal="center" vertical="center" wrapText="1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30B26-6CB1-4D4A-A418-5FD3C15F278B}">
  <dimension ref="A2:F10"/>
  <sheetViews>
    <sheetView workbookViewId="0">
      <selection activeCell="E6" sqref="E6"/>
    </sheetView>
  </sheetViews>
  <sheetFormatPr baseColWidth="10" defaultRowHeight="14.4" x14ac:dyDescent="0.3"/>
  <cols>
    <col min="3" max="3" width="16.88671875" style="1" customWidth="1"/>
    <col min="4" max="4" width="20.77734375" style="1" bestFit="1" customWidth="1"/>
    <col min="6" max="6" width="20.33203125" bestFit="1" customWidth="1"/>
  </cols>
  <sheetData>
    <row r="2" spans="1:6" ht="31.2" x14ac:dyDescent="0.3">
      <c r="B2" s="5" t="s">
        <v>0</v>
      </c>
      <c r="C2" s="13" t="s">
        <v>18</v>
      </c>
      <c r="D2" s="6" t="s">
        <v>19</v>
      </c>
      <c r="E2" s="5" t="s">
        <v>1</v>
      </c>
      <c r="F2" s="5" t="s">
        <v>2</v>
      </c>
    </row>
    <row r="3" spans="1:6" ht="18" x14ac:dyDescent="0.35">
      <c r="B3" s="4">
        <v>46038</v>
      </c>
      <c r="C3" s="2">
        <v>3415</v>
      </c>
      <c r="D3" s="2">
        <v>12503347</v>
      </c>
      <c r="E3" t="s">
        <v>16</v>
      </c>
      <c r="F3" t="s">
        <v>17</v>
      </c>
    </row>
    <row r="4" spans="1:6" ht="18" x14ac:dyDescent="0.35">
      <c r="B4" s="4">
        <v>46097</v>
      </c>
      <c r="C4" s="2">
        <v>730</v>
      </c>
      <c r="D4" s="2">
        <v>2592844</v>
      </c>
      <c r="E4" t="s">
        <v>16</v>
      </c>
      <c r="F4" t="s">
        <v>20</v>
      </c>
    </row>
    <row r="5" spans="1:6" ht="18" x14ac:dyDescent="0.35">
      <c r="B5" s="4"/>
      <c r="C5" s="2"/>
      <c r="D5" s="2"/>
    </row>
    <row r="6" spans="1:6" ht="18" x14ac:dyDescent="0.35">
      <c r="B6" s="4"/>
      <c r="C6" s="2"/>
      <c r="D6" s="2"/>
    </row>
    <row r="7" spans="1:6" ht="18" x14ac:dyDescent="0.35">
      <c r="B7" s="4"/>
      <c r="C7" s="2"/>
      <c r="D7" s="2"/>
    </row>
    <row r="8" spans="1:6" ht="18" x14ac:dyDescent="0.35">
      <c r="B8" s="4"/>
      <c r="C8" s="2"/>
      <c r="D8" s="2"/>
    </row>
    <row r="9" spans="1:6" ht="18" x14ac:dyDescent="0.35">
      <c r="B9" s="4"/>
      <c r="C9" s="2"/>
      <c r="D9" s="2"/>
    </row>
    <row r="10" spans="1:6" ht="21" x14ac:dyDescent="0.4">
      <c r="A10" s="7" t="s">
        <v>3</v>
      </c>
      <c r="D10" s="3">
        <f>SUM(D3:D9)</f>
        <v>15096191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B9EC-C8F0-48BD-90D0-4407B712E3B3}">
  <dimension ref="A1:I13"/>
  <sheetViews>
    <sheetView tabSelected="1" workbookViewId="0"/>
  </sheetViews>
  <sheetFormatPr baseColWidth="10" defaultRowHeight="14.4" x14ac:dyDescent="0.3"/>
  <cols>
    <col min="2" max="2" width="37.6640625" bestFit="1" customWidth="1"/>
    <col min="3" max="3" width="14.6640625" customWidth="1"/>
    <col min="4" max="4" width="12.6640625" bestFit="1" customWidth="1"/>
    <col min="5" max="5" width="29.77734375" customWidth="1"/>
    <col min="6" max="6" width="12.77734375" bestFit="1" customWidth="1"/>
    <col min="7" max="7" width="20.6640625" customWidth="1"/>
    <col min="8" max="9" width="20.33203125" customWidth="1"/>
  </cols>
  <sheetData>
    <row r="1" spans="1:9" ht="43.2" x14ac:dyDescent="0.3">
      <c r="A1" s="8" t="s">
        <v>4</v>
      </c>
      <c r="B1" s="8" t="s">
        <v>5</v>
      </c>
      <c r="C1" s="9" t="s">
        <v>57</v>
      </c>
      <c r="D1" s="9" t="s">
        <v>58</v>
      </c>
      <c r="E1" s="8" t="s">
        <v>6</v>
      </c>
      <c r="F1" s="17" t="s">
        <v>8</v>
      </c>
      <c r="G1" s="8" t="s">
        <v>9</v>
      </c>
      <c r="H1" s="8" t="s">
        <v>10</v>
      </c>
      <c r="I1" s="20" t="s">
        <v>11</v>
      </c>
    </row>
    <row r="2" spans="1:9" ht="72" x14ac:dyDescent="0.3">
      <c r="A2" s="14">
        <v>46037</v>
      </c>
      <c r="B2" s="15" t="s">
        <v>40</v>
      </c>
      <c r="C2" s="15" t="s">
        <v>22</v>
      </c>
      <c r="D2" s="15" t="s">
        <v>41</v>
      </c>
      <c r="E2" s="16" t="s">
        <v>42</v>
      </c>
      <c r="F2" s="18">
        <v>500499</v>
      </c>
      <c r="G2" s="16" t="s">
        <v>26</v>
      </c>
      <c r="H2" s="15" t="s">
        <v>25</v>
      </c>
      <c r="I2" s="21">
        <v>18500</v>
      </c>
    </row>
    <row r="3" spans="1:9" ht="28.8" x14ac:dyDescent="0.3">
      <c r="A3" s="14">
        <v>46038</v>
      </c>
      <c r="B3" s="15" t="s">
        <v>40</v>
      </c>
      <c r="C3" s="15" t="s">
        <v>22</v>
      </c>
      <c r="D3" s="15" t="s">
        <v>41</v>
      </c>
      <c r="E3" s="16" t="s">
        <v>43</v>
      </c>
      <c r="F3" s="18">
        <v>275000</v>
      </c>
      <c r="G3" s="15" t="s">
        <v>38</v>
      </c>
      <c r="H3" s="15"/>
      <c r="I3" s="21"/>
    </row>
    <row r="4" spans="1:9" x14ac:dyDescent="0.3">
      <c r="A4" s="14">
        <v>46039</v>
      </c>
      <c r="B4" s="15" t="s">
        <v>40</v>
      </c>
      <c r="C4" s="15" t="s">
        <v>22</v>
      </c>
      <c r="D4" s="15" t="s">
        <v>41</v>
      </c>
      <c r="E4" s="15" t="s">
        <v>44</v>
      </c>
      <c r="F4" s="18">
        <v>68000</v>
      </c>
      <c r="G4" s="15" t="s">
        <v>38</v>
      </c>
      <c r="H4" s="15"/>
      <c r="I4" s="21"/>
    </row>
    <row r="5" spans="1:9" ht="28.8" x14ac:dyDescent="0.3">
      <c r="A5" s="14">
        <v>46039</v>
      </c>
      <c r="B5" s="15" t="s">
        <v>47</v>
      </c>
      <c r="C5" s="15" t="s">
        <v>22</v>
      </c>
      <c r="D5" s="15">
        <v>901690449</v>
      </c>
      <c r="E5" s="16" t="s">
        <v>48</v>
      </c>
      <c r="F5" s="18">
        <v>80000</v>
      </c>
      <c r="G5" s="15" t="s">
        <v>38</v>
      </c>
      <c r="H5" s="15"/>
      <c r="I5" s="21"/>
    </row>
    <row r="6" spans="1:9" ht="72" x14ac:dyDescent="0.3">
      <c r="A6" s="14">
        <v>46039</v>
      </c>
      <c r="B6" s="15" t="s">
        <v>21</v>
      </c>
      <c r="C6" s="15" t="s">
        <v>22</v>
      </c>
      <c r="D6" s="15" t="s">
        <v>23</v>
      </c>
      <c r="E6" s="16" t="s">
        <v>24</v>
      </c>
      <c r="F6" s="18">
        <v>130000</v>
      </c>
      <c r="G6" s="16" t="s">
        <v>26</v>
      </c>
      <c r="H6" s="15" t="s">
        <v>25</v>
      </c>
      <c r="I6" s="21">
        <v>8200</v>
      </c>
    </row>
    <row r="7" spans="1:9" ht="86.4" x14ac:dyDescent="0.3">
      <c r="A7" s="14">
        <v>46040</v>
      </c>
      <c r="B7" s="15" t="s">
        <v>28</v>
      </c>
      <c r="C7" s="15" t="s">
        <v>29</v>
      </c>
      <c r="D7" s="15" t="s">
        <v>30</v>
      </c>
      <c r="E7" s="16" t="s">
        <v>33</v>
      </c>
      <c r="F7" s="18">
        <v>6080000</v>
      </c>
      <c r="G7" s="16" t="s">
        <v>45</v>
      </c>
      <c r="H7" s="16" t="s">
        <v>32</v>
      </c>
      <c r="I7" s="21" t="s">
        <v>31</v>
      </c>
    </row>
    <row r="8" spans="1:9" ht="43.2" x14ac:dyDescent="0.3">
      <c r="A8" s="14">
        <v>46040</v>
      </c>
      <c r="B8" s="15" t="s">
        <v>34</v>
      </c>
      <c r="C8" s="15" t="s">
        <v>13</v>
      </c>
      <c r="D8" s="15">
        <v>45487075</v>
      </c>
      <c r="E8" s="16" t="s">
        <v>39</v>
      </c>
      <c r="F8" s="18">
        <v>1100000</v>
      </c>
      <c r="G8" s="16" t="s">
        <v>38</v>
      </c>
      <c r="H8" s="16"/>
      <c r="I8" s="21"/>
    </row>
    <row r="9" spans="1:9" ht="28.8" x14ac:dyDescent="0.3">
      <c r="A9" s="14">
        <v>46040</v>
      </c>
      <c r="B9" s="15" t="s">
        <v>35</v>
      </c>
      <c r="C9" s="15" t="s">
        <v>13</v>
      </c>
      <c r="D9" s="15" t="s">
        <v>36</v>
      </c>
      <c r="E9" s="16" t="s">
        <v>37</v>
      </c>
      <c r="F9" s="18">
        <v>500000</v>
      </c>
      <c r="G9" s="16" t="s">
        <v>38</v>
      </c>
      <c r="H9" s="16"/>
      <c r="I9" s="21"/>
    </row>
    <row r="10" spans="1:9" ht="28.8" x14ac:dyDescent="0.3">
      <c r="A10" s="14">
        <v>46040</v>
      </c>
      <c r="B10" s="15" t="s">
        <v>49</v>
      </c>
      <c r="C10" s="15" t="s">
        <v>13</v>
      </c>
      <c r="D10" s="15" t="s">
        <v>50</v>
      </c>
      <c r="E10" s="16" t="s">
        <v>51</v>
      </c>
      <c r="F10" s="18">
        <v>300000</v>
      </c>
      <c r="G10" s="16" t="s">
        <v>38</v>
      </c>
    </row>
    <row r="11" spans="1:9" ht="72" x14ac:dyDescent="0.3">
      <c r="A11" s="14">
        <v>46040</v>
      </c>
      <c r="B11" s="15" t="s">
        <v>52</v>
      </c>
      <c r="C11" s="15" t="s">
        <v>13</v>
      </c>
      <c r="D11">
        <v>1047414358</v>
      </c>
      <c r="E11" s="16" t="s">
        <v>56</v>
      </c>
      <c r="F11" s="18">
        <v>500000</v>
      </c>
      <c r="G11" s="16" t="s">
        <v>38</v>
      </c>
    </row>
    <row r="12" spans="1:9" ht="43.2" x14ac:dyDescent="0.3">
      <c r="A12" s="14">
        <v>46040</v>
      </c>
      <c r="B12" s="15" t="s">
        <v>53</v>
      </c>
      <c r="C12" s="15" t="s">
        <v>13</v>
      </c>
      <c r="D12" s="15" t="s">
        <v>54</v>
      </c>
      <c r="E12" s="16" t="s">
        <v>55</v>
      </c>
      <c r="F12" s="18">
        <v>500000</v>
      </c>
      <c r="G12" s="16" t="s">
        <v>38</v>
      </c>
    </row>
    <row r="13" spans="1:9" x14ac:dyDescent="0.3">
      <c r="A13" t="s">
        <v>46</v>
      </c>
      <c r="F13" s="1">
        <f>SUM(F2:F12)</f>
        <v>10033499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2DCD-13A6-40D2-B535-4FED4835FCB4}">
  <dimension ref="A1:I2"/>
  <sheetViews>
    <sheetView workbookViewId="0">
      <selection activeCell="G8" sqref="G8"/>
    </sheetView>
  </sheetViews>
  <sheetFormatPr baseColWidth="10" defaultRowHeight="14.4" x14ac:dyDescent="0.3"/>
  <cols>
    <col min="2" max="2" width="43.21875" customWidth="1"/>
    <col min="4" max="5" width="31.109375" customWidth="1"/>
    <col min="6" max="6" width="17.109375" style="1" customWidth="1"/>
    <col min="7" max="7" width="26.33203125" style="19" customWidth="1"/>
    <col min="8" max="8" width="14.6640625" customWidth="1"/>
    <col min="9" max="9" width="15.33203125" style="22" bestFit="1" customWidth="1"/>
  </cols>
  <sheetData>
    <row r="1" spans="1:9" s="8" customFormat="1" ht="57.6" x14ac:dyDescent="0.3">
      <c r="A1" s="8" t="s">
        <v>4</v>
      </c>
      <c r="B1" s="8" t="s">
        <v>5</v>
      </c>
      <c r="C1" s="8" t="s">
        <v>7</v>
      </c>
      <c r="D1" s="8" t="s">
        <v>7</v>
      </c>
      <c r="E1" s="8" t="s">
        <v>6</v>
      </c>
      <c r="F1" s="17" t="s">
        <v>8</v>
      </c>
      <c r="G1" s="8" t="s">
        <v>9</v>
      </c>
      <c r="H1" s="8" t="s">
        <v>10</v>
      </c>
      <c r="I1" s="20" t="s">
        <v>59</v>
      </c>
    </row>
    <row r="2" spans="1:9" ht="72" x14ac:dyDescent="0.3">
      <c r="A2" s="10">
        <v>46098</v>
      </c>
      <c r="B2" s="15" t="s">
        <v>12</v>
      </c>
      <c r="C2" s="15" t="s">
        <v>13</v>
      </c>
      <c r="D2" s="15">
        <v>43744250</v>
      </c>
      <c r="E2" s="11" t="s">
        <v>14</v>
      </c>
      <c r="F2" s="12">
        <v>2000000</v>
      </c>
      <c r="G2" s="16" t="s">
        <v>27</v>
      </c>
      <c r="H2" s="11" t="s">
        <v>15</v>
      </c>
      <c r="I2" s="22">
        <v>72327528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F2FF-DCAF-4732-BFC9-067D744A0905}">
  <dimension ref="A1"/>
  <sheetViews>
    <sheetView workbookViewId="0">
      <selection activeCell="D24" sqref="D24"/>
    </sheetView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82E0-C8BA-4ECB-AD94-CF028DA2959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A346-939E-42CA-965F-E5E1AB5E7661}">
  <dimension ref="A1"/>
  <sheetViews>
    <sheetView workbookViewId="0">
      <selection activeCell="E25" sqref="E25"/>
    </sheetView>
  </sheetViews>
  <sheetFormatPr baseColWidth="10"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46C3-4B2B-4104-A48C-A1FE7EA533C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C4E3-1641-44B7-9FF3-51AD3C8D57E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BAF1-D917-43C1-BBA1-99786B91D9F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DEA0-6AA4-4AF1-B872-94BE8B6867E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BC31-41D4-4424-B24C-6446D5A21B2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637B-C9AF-43F2-984B-95A182C9C9BC}">
  <dimension ref="A1"/>
  <sheetViews>
    <sheetView workbookViewId="0">
      <selection activeCell="G11" sqref="G11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PAGOS RECIBIDOS</vt:lpstr>
      <vt:lpstr>ENERO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 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Florez</dc:creator>
  <cp:lastModifiedBy>Martín García</cp:lastModifiedBy>
  <dcterms:created xsi:type="dcterms:W3CDTF">2026-01-30T17:39:26Z</dcterms:created>
  <dcterms:modified xsi:type="dcterms:W3CDTF">2026-03-18T19:42:47Z</dcterms:modified>
</cp:coreProperties>
</file>