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3"/>
  </bookViews>
  <sheets>
    <sheet name="EDGARCHIVAENE17" sheetId="1" state="visible" r:id="rId3"/>
    <sheet name="CARLOSCTG-MAR-ABR" sheetId="2" state="visible" r:id="rId4"/>
    <sheet name="NINJA TOUR CR ENE" sheetId="3" state="visible" r:id="rId5"/>
    <sheet name="MARTHA MAYO" sheetId="4" state="visible" r:id="rId6"/>
    <sheet name="FORMATO DE ITINERARIO" sheetId="5" state="visible" r:id="rId7"/>
    <sheet name="Hoja1" sheetId="6" state="visible" r:id="rId8"/>
    <sheet name="EDGARCTG26DIC-03ENE" sheetId="7" state="visible" r:id="rId9"/>
    <sheet name="TARIFAS VEHICULOS MEDELLIN" sheetId="8" state="visible" r:id="rId10"/>
    <sheet name="ENERO16-18 CAMILO" sheetId="9" state="visible" r:id="rId11"/>
    <sheet name="EDGARMDE05-11ENE" sheetId="10" state="visible" r:id="rId12"/>
    <sheet name="ESTRELLA 10 -15 MAYO" sheetId="11" state="visible" r:id="rId13"/>
    <sheet name="EDGARMED15-23FEB" sheetId="12" state="visible" r:id="rId14"/>
    <sheet name="WALKINGTOUR" sheetId="13" state="visible" r:id="rId15"/>
    <sheet name="Hoja2" sheetId="14" state="visible" r:id="rId16"/>
    <sheet name="CALCULO VIAJE EJE"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<sst xmlns="http://schemas.openxmlformats.org/spreadsheetml/2006/main" count="1116" uniqueCount="265">
  <si>
    <t xml:space="preserve">GRUPO CRUCERO ENERO 17</t>
  </si>
  <si>
    <t xml:space="preserve">CITYCHIVA </t>
  </si>
  <si>
    <t xml:space="preserve">BUSETA</t>
  </si>
  <si>
    <t xml:space="preserve">CHIVA </t>
  </si>
  <si>
    <t xml:space="preserve">GUIA </t>
  </si>
  <si>
    <t xml:space="preserve">MUSICOS</t>
  </si>
  <si>
    <t xml:space="preserve">ALMUERZO</t>
  </si>
  <si>
    <t xml:space="preserve">HIDRATACIÓN</t>
  </si>
  <si>
    <t xml:space="preserve">AGENCIAMIENTO</t>
  </si>
  <si>
    <t xml:space="preserve">PRECIO NETO</t>
  </si>
  <si>
    <t xml:space="preserve">PRECIO DE VENTA DOLARES</t>
  </si>
  <si>
    <t xml:space="preserve">TRANSFERS CTG</t>
  </si>
  <si>
    <t xml:space="preserve">CARTAGENA</t>
  </si>
  <si>
    <t xml:space="preserve">TRANSFERS</t>
  </si>
  <si>
    <t xml:space="preserve">CITY TOUR FULL</t>
  </si>
  <si>
    <t xml:space="preserve">STAFF</t>
  </si>
  <si>
    <r>
      <rPr>
        <sz val="14"/>
        <rFont val="Aptos Narrow"/>
        <family val="2"/>
        <charset val="1"/>
      </rPr>
      <t xml:space="preserve">ISLAS DEL ROSARIO </t>
    </r>
    <r>
      <rPr>
        <sz val="10"/>
        <rFont val="Aptos Narrow"/>
        <family val="2"/>
        <charset val="1"/>
      </rPr>
      <t xml:space="preserve">ISLA VISTA MAR</t>
    </r>
  </si>
  <si>
    <r>
      <rPr>
        <sz val="14"/>
        <rFont val="Aptos Narrow"/>
        <family val="2"/>
        <charset val="1"/>
      </rPr>
      <t xml:space="preserve">ISLAS DEL ROSARIO</t>
    </r>
    <r>
      <rPr>
        <sz val="11"/>
        <rFont val="Aptos Narrow"/>
        <family val="2"/>
        <charset val="1"/>
      </rPr>
      <t xml:space="preserve"> KOKOMO</t>
    </r>
  </si>
  <si>
    <t xml:space="preserve">TOUR BAHIA </t>
  </si>
  <si>
    <t xml:space="preserve">PRECIO DE VENTA </t>
  </si>
  <si>
    <t xml:space="preserve">TOTAL</t>
  </si>
  <si>
    <t xml:space="preserve">PRECIO DE VENTA DOLARES </t>
  </si>
  <si>
    <t xml:space="preserve">staff</t>
  </si>
  <si>
    <t xml:space="preserve">CASTILLO</t>
  </si>
  <si>
    <t xml:space="preserve">Almuerzo </t>
  </si>
  <si>
    <t xml:space="preserve">POPA</t>
  </si>
  <si>
    <t xml:space="preserve">HIDRATACIÓN + palenquera</t>
  </si>
  <si>
    <t xml:space="preserve">ISLAS DEL ROSARIO </t>
  </si>
  <si>
    <t xml:space="preserve">TRASLADOS</t>
  </si>
  <si>
    <t xml:space="preserve">IMPUESTO</t>
  </si>
  <si>
    <t xml:space="preserve">BARCO</t>
  </si>
  <si>
    <t xml:space="preserve">SAN PEDRO Y GETSEMANI</t>
  </si>
  <si>
    <t xml:space="preserve">TRANSPORTE</t>
  </si>
  <si>
    <t xml:space="preserve">ENTRADA </t>
  </si>
  <si>
    <t xml:space="preserve">GETSEMANI</t>
  </si>
  <si>
    <t xml:space="preserve">COMPRAS </t>
  </si>
  <si>
    <t xml:space="preserve">CITY TOUR CHIVA </t>
  </si>
  <si>
    <t xml:space="preserve">CITY TOUR COLECTIVO</t>
  </si>
  <si>
    <t xml:space="preserve">CITY TOUR AIRE </t>
  </si>
  <si>
    <t xml:space="preserve">BUSETA </t>
  </si>
  <si>
    <t xml:space="preserve">BARRANQUILLA  </t>
  </si>
  <si>
    <t xml:space="preserve">ALMUERZO + TREN</t>
  </si>
  <si>
    <t xml:space="preserve">FOTOS</t>
  </si>
  <si>
    <t xml:space="preserve">TOUR GOLD</t>
  </si>
  <si>
    <t xml:space="preserve">TOUR REGULAR </t>
  </si>
  <si>
    <t xml:space="preserve">PLAYA BLANCA  </t>
  </si>
  <si>
    <t xml:space="preserve">MAPACHES </t>
  </si>
  <si>
    <t xml:space="preserve">VOLCAN DEL TOTUMO </t>
  </si>
  <si>
    <t xml:space="preserve">ENTRADA AL VOLCAN</t>
  </si>
  <si>
    <t xml:space="preserve">ISLAS DEL ROSARIO GOLD</t>
  </si>
  <si>
    <r>
      <rPr>
        <sz val="14"/>
        <rFont val="Aptos Narrow"/>
        <family val="2"/>
        <charset val="1"/>
      </rPr>
      <t xml:space="preserve">ISLAS DEL ROSARIO</t>
    </r>
    <r>
      <rPr>
        <sz val="11"/>
        <rFont val="Aptos Narrow"/>
        <family val="2"/>
        <charset val="1"/>
      </rPr>
      <t xml:space="preserve"> PREMIUM </t>
    </r>
  </si>
  <si>
    <t xml:space="preserve">PLAYA BLANCA</t>
  </si>
  <si>
    <t xml:space="preserve">BARRANQUILLA </t>
  </si>
  <si>
    <t xml:space="preserve">VOLCAN DEL TOTUMO</t>
  </si>
  <si>
    <t xml:space="preserve">FECHA </t>
  </si>
  <si>
    <t xml:space="preserve">EXPERIENCIA </t>
  </si>
  <si>
    <t xml:space="preserve">OBSERVACIONES </t>
  </si>
  <si>
    <t xml:space="preserve">TRANSFER IN </t>
  </si>
  <si>
    <t xml:space="preserve">Recogida en aeropuerto y traslado al hotel </t>
  </si>
  <si>
    <t xml:space="preserve">15 US</t>
  </si>
  <si>
    <t xml:space="preserve">GETSEMANI </t>
  </si>
  <si>
    <t xml:space="preserve">Recorrido nocturno por el barrio de Getsemani, donde conoceras la vida nocturna de la ciudad </t>
  </si>
  <si>
    <t xml:space="preserve">CITY TOUR + TOUR BAHIA </t>
  </si>
  <si>
    <t xml:space="preserve">Este tour es un recorrido por los principales sitios turisticos de la ciudad, incluye el transporte, guía de turismo, recorrido en el barrio de Getsemaní, entrada al Castillo de san Felipe de Barajas, entrada al monasterio de la popa, almuerzo e hidratación (Agua, sodas y cervezas nacionales).
Duración Aprox. 8 horas
Tour de 90 minutos por la bahía de Cartagena de indias.
Incluye: 
Barra libre de Cuba libre, ron punch, cervezas nacionales, vino (tinto, blanco y rosa), limonada, agua y gaseosa.
Traslados de hotel al muelle de la bodeguita y regreso al hotel.
Impuesto o Tasa Portuaria. </t>
  </si>
  <si>
    <t xml:space="preserve">170 US</t>
  </si>
  <si>
    <t xml:space="preserve">Este tour te brinda la oportunidad de disfrutar de un club de playa a eleccion y disfrutar de las maravillosas playas e instalaciones con las que se cuentan en la amplia oferta que tiene la ciudad.
Te incluye traslados desde el hotel hasta el muelle de la bodeguita donde se tomara la embarcación y de regreso al hotel.
Almuerzo tipico o según las opciones que brinde el club, bebida no alcoholica, transporte en lancha y tasa portuaria.</t>
  </si>
  <si>
    <t xml:space="preserve">TRANSFER OUT </t>
  </si>
  <si>
    <t xml:space="preserve">Recogida en el  hotel y traslado al aeropuerto </t>
  </si>
  <si>
    <t xml:space="preserve">TOURS </t>
  </si>
  <si>
    <t xml:space="preserve">VALOR EN DOLARES </t>
  </si>
  <si>
    <t xml:space="preserve">CITY + TOUR BAHIA </t>
  </si>
  <si>
    <t xml:space="preserve">ISLAS DEL ROSARIO</t>
  </si>
  <si>
    <t xml:space="preserve">FEBRERO</t>
  </si>
  <si>
    <t xml:space="preserve">TOUR GETSEMANI </t>
  </si>
  <si>
    <t xml:space="preserve">CENA + Recorrido nocturno por el barrio de Getsemani, donde conoceras la vida nocturna de la ciudad </t>
  </si>
  <si>
    <t xml:space="preserve">UMBA</t>
  </si>
  <si>
    <t xml:space="preserve">RUMBA EN CHIVA </t>
  </si>
  <si>
    <t xml:space="preserve">Este tour es un recorrido por los principales sitios turisticos de la ciudad, incluye el transporte, guía de turismo, recorrido en el barrio de Getsemaní, entrada al Castillo de san Felipe de Barajas, entrada al monasterio de la popa, almuerzo e hidratación (Agua, sodas y cervezas nacionales).
Duración Aprox. 8 horas
</t>
  </si>
  <si>
    <t xml:space="preserve"> TOUR BAHIA </t>
  </si>
  <si>
    <t xml:space="preserve">Tour de 90 minutos por la bahía de Cartagena de indias.
Incluye: 
Barra libre de Cuba libre, ron punch, cervezas nacionales, vino (tinto, blanco y rosa), limonada, agua y gaseosa.
Traslados de hotel al muelle de la bodeguita y regreso al hotel.
Impuesto o Tasa Portuaria. </t>
  </si>
  <si>
    <t xml:space="preserve">TOUR BARRANQUILLA </t>
  </si>
  <si>
    <t xml:space="preserve">Barranquilla no solo se visita… ¡se siente!
 Recorre la ciudad donde nació el Carnaval más importante de Colombia, sumérgete en la historia caribeña y disfruta del ritmo, la cultura y la calidez de su gente. Desde el Gran Malecón y la Casa del Carnaval, por que  cada rincón tiene una historia que contar.
TIEMPO: 12 HORAS</t>
  </si>
  <si>
    <t xml:space="preserve">GRUPO EXCALIBUR 7 PAX 26 DIC - 03 ENERO</t>
  </si>
  <si>
    <t xml:space="preserve">COTIZACIÓN  </t>
  </si>
  <si>
    <r>
      <rPr>
        <sz val="14"/>
        <color theme="4" tint="-0.5"/>
        <rFont val="Aptos Narrow"/>
        <family val="2"/>
        <charset val="1"/>
      </rPr>
      <t xml:space="preserve">ISLAS DEL ROSARIO ( </t>
    </r>
    <r>
      <rPr>
        <sz val="10"/>
        <color theme="4" tint="-0.5"/>
        <rFont val="Aptos Narrow"/>
        <family val="2"/>
        <charset val="1"/>
      </rPr>
      <t xml:space="preserve">BORA BORA VIP)</t>
    </r>
    <r>
      <rPr>
        <sz val="14"/>
        <color theme="4" tint="-0.5"/>
        <rFont val="Aptos Narrow"/>
        <family val="2"/>
        <charset val="1"/>
      </rPr>
      <t xml:space="preserve"> </t>
    </r>
  </si>
  <si>
    <r>
      <rPr>
        <sz val="14"/>
        <color theme="4" tint="-0.5"/>
        <rFont val="Aptos Narrow"/>
        <family val="2"/>
        <charset val="1"/>
      </rPr>
      <t xml:space="preserve">ISLAS DEL ROSARIO (</t>
    </r>
    <r>
      <rPr>
        <sz val="11"/>
        <color theme="4" tint="-0.5"/>
        <rFont val="Aptos Narrow"/>
        <family val="2"/>
        <charset val="1"/>
      </rPr>
      <t xml:space="preserve"> ISLA DEL ENCANTO PREMIUM)</t>
    </r>
  </si>
  <si>
    <r>
      <rPr>
        <sz val="14"/>
        <color theme="4" tint="-0.5"/>
        <rFont val="Aptos Narrow"/>
        <family val="2"/>
        <charset val="1"/>
      </rPr>
      <t xml:space="preserve">TOUR 5 ISLAS ( </t>
    </r>
    <r>
      <rPr>
        <sz val="11"/>
        <color theme="4" tint="-0.5"/>
        <rFont val="Aptos Narrow"/>
        <family val="2"/>
        <charset val="1"/>
      </rPr>
      <t xml:space="preserve">ISLA DEL ENCANTO</t>
    </r>
    <r>
      <rPr>
        <sz val="14"/>
        <color theme="4" tint="-0.5"/>
        <rFont val="Aptos Narrow"/>
        <family val="2"/>
        <charset val="1"/>
      </rPr>
      <t xml:space="preserve">)</t>
    </r>
  </si>
  <si>
    <r>
      <rPr>
        <sz val="16"/>
        <rFont val="Aptos Narrow"/>
        <family val="2"/>
        <charset val="1"/>
      </rPr>
      <t xml:space="preserve">TOUR BAHIA </t>
    </r>
    <r>
      <rPr>
        <sz val="12"/>
        <rFont val="Aptos Narrow"/>
        <family val="2"/>
        <charset val="1"/>
      </rPr>
      <t xml:space="preserve">(CATAMARAN)</t>
    </r>
  </si>
  <si>
    <t xml:space="preserve">RUMBA EN CHIVA</t>
  </si>
  <si>
    <t xml:space="preserve">TOUR BARRANQUILLA</t>
  </si>
  <si>
    <t xml:space="preserve">HIDRATACIÓN + PALENQUERA</t>
  </si>
  <si>
    <t xml:space="preserve">CATAMARAN</t>
  </si>
  <si>
    <t xml:space="preserve">3+++++++++++++++++++++6+</t>
  </si>
  <si>
    <t xml:space="preserve">TOUR 5 ISLAS </t>
  </si>
  <si>
    <t xml:space="preserve">ISLA DEL ENCANTO</t>
  </si>
  <si>
    <t xml:space="preserve">ISLAS DEL ROSARIO DAY PREMIUM</t>
  </si>
  <si>
    <t xml:space="preserve">ISLAS DEL ROSARIO BORA BORA</t>
  </si>
  <si>
    <t xml:space="preserve">BORA BORA VIP</t>
  </si>
  <si>
    <t xml:space="preserve">TOUR </t>
  </si>
  <si>
    <t xml:space="preserve">BARRANQUILLA</t>
  </si>
  <si>
    <t xml:space="preserve">TREN</t>
  </si>
  <si>
    <t xml:space="preserve">VIDEO DRON</t>
  </si>
  <si>
    <t xml:space="preserve">HIDRATACIÓN </t>
  </si>
  <si>
    <t xml:space="preserve">YOVANY</t>
  </si>
  <si>
    <t xml:space="preserve">300 8470693</t>
  </si>
  <si>
    <t xml:space="preserve">AMIGO CAMILO </t>
  </si>
  <si>
    <t xml:space="preserve">MASTER 15 PAX</t>
  </si>
  <si>
    <t xml:space="preserve">H1 - 10 pasajeros </t>
  </si>
  <si>
    <t xml:space="preserve">Jardín Antioquia día de sol</t>
  </si>
  <si>
    <t xml:space="preserve">$1'000.000</t>
  </si>
  <si>
    <t xml:space="preserve">Jardín Antioquia día de sol </t>
  </si>
  <si>
    <t xml:space="preserve">Jardin Con pernoctación</t>
  </si>
  <si>
    <t xml:space="preserve"> $1'500.000</t>
  </si>
  <si>
    <t xml:space="preserve">Jardin Con pernoctacion</t>
  </si>
  <si>
    <t xml:space="preserve"> $1'300.000</t>
  </si>
  <si>
    <t xml:space="preserve">Jardín Antioquia con Jericó Antioquia día de sol </t>
  </si>
  <si>
    <t xml:space="preserve">$1'400.000</t>
  </si>
  <si>
    <t xml:space="preserve">Jardín Antioquia con Jericó Antioquia </t>
  </si>
  <si>
    <t xml:space="preserve">$ 1'200.000</t>
  </si>
  <si>
    <t xml:space="preserve">Con pernoctacion</t>
  </si>
  <si>
    <t xml:space="preserve"> $1'800.000</t>
  </si>
  <si>
    <t xml:space="preserve">Con pernoctacion </t>
  </si>
  <si>
    <t xml:space="preserve">$1'500.000</t>
  </si>
  <si>
    <t xml:space="preserve">Hacienda Nápoles día de sol</t>
  </si>
  <si>
    <t xml:space="preserve">$1'100.000</t>
  </si>
  <si>
    <t xml:space="preserve">Hacienda Nápoles </t>
  </si>
  <si>
    <t xml:space="preserve">$1'600.000</t>
  </si>
  <si>
    <t xml:space="preserve">JOSE AMIGO PESCAITO</t>
  </si>
  <si>
    <t xml:space="preserve">Servicio en van de 15 pasajeros </t>
  </si>
  <si>
    <t xml:space="preserve">H1</t>
  </si>
  <si>
    <t xml:space="preserve">Jardin día de sol </t>
  </si>
  <si>
    <t xml:space="preserve">⁠Jandin con amanecida</t>
  </si>
  <si>
    <t xml:space="preserve">⁠Jardin + Jericó día de sol </t>
  </si>
  <si>
    <t xml:space="preserve"> ⁠Jardin + Jericó con amanecida </t>
  </si>
  <si>
    <t xml:space="preserve"> ⁠Hacienda Nápoles día de sol  ( cliente paga la entrada del carro )</t>
  </si>
  <si>
    <t xml:space="preserve"> ⁠Hacienda Nápoles con amanecida</t>
  </si>
  <si>
    <t xml:space="preserve">GUATAPE </t>
  </si>
  <si>
    <t xml:space="preserve">AEROPUERTO</t>
  </si>
  <si>
    <t xml:space="preserve">CITY TOUR HORA DISPONIBLE</t>
  </si>
  <si>
    <t xml:space="preserve">CITY  HORA DISPONIBLE </t>
  </si>
  <si>
    <t xml:space="preserve">CARTAGENA GRUPO 23 PAX PERU CAMILO </t>
  </si>
  <si>
    <t xml:space="preserve">ENERO 16- 18,  2026</t>
  </si>
  <si>
    <t xml:space="preserve">TOURS</t>
  </si>
  <si>
    <t xml:space="preserve">VALOR US</t>
  </si>
  <si>
    <t xml:space="preserve">VALOR PESOS </t>
  </si>
  <si>
    <t xml:space="preserve">CITY TOUR PANORAMICO + TRANSFER OUT</t>
  </si>
  <si>
    <t xml:space="preserve">SANTA  MARTA - BARRANQUILLA </t>
  </si>
  <si>
    <t xml:space="preserve">TRANSFER IN</t>
  </si>
  <si>
    <t xml:space="preserve">TRANSPORTE </t>
  </si>
  <si>
    <t xml:space="preserve">ENTRADA QUINTA</t>
  </si>
  <si>
    <t xml:space="preserve">GRUPO DEL 5 AL 11 DE ENERO 11 PAX MDELLÍN</t>
  </si>
  <si>
    <t xml:space="preserve">VUELO 5 DE DICIEMBRE</t>
  </si>
  <si>
    <t xml:space="preserve">VUELO 11 DE DICIEMBRE </t>
  </si>
  <si>
    <t xml:space="preserve">GUATAPÉ</t>
  </si>
  <si>
    <t xml:space="preserve">MEDELLIN </t>
  </si>
  <si>
    <t xml:space="preserve">COMUNA 13</t>
  </si>
  <si>
    <t xml:space="preserve">CITY TOUR </t>
  </si>
  <si>
    <t xml:space="preserve">TOUR ARVÍ + PARQUE EXPLORA </t>
  </si>
  <si>
    <t xml:space="preserve">TOUR JARDIN + JERICO</t>
  </si>
  <si>
    <t xml:space="preserve">TOUR HACIENDA NAPOLES </t>
  </si>
  <si>
    <t xml:space="preserve">MIRADOR DEL CIELO</t>
  </si>
  <si>
    <t xml:space="preserve">COMUNA 13 </t>
  </si>
  <si>
    <t xml:space="preserve">ALMUERZO </t>
  </si>
  <si>
    <t xml:space="preserve">ENTRADAS</t>
  </si>
  <si>
    <t xml:space="preserve">CITY TOUR</t>
  </si>
  <si>
    <t xml:space="preserve">HACIENDA NAPOLÉS </t>
  </si>
  <si>
    <t xml:space="preserve">PASAPORTE</t>
  </si>
  <si>
    <t xml:space="preserve">DESAYUNO</t>
  </si>
  <si>
    <t xml:space="preserve">TUC TUC</t>
  </si>
  <si>
    <t xml:space="preserve">ALMUERZO+DESAYUNO+DULCE</t>
  </si>
  <si>
    <t xml:space="preserve">TOUR DE COMPRAS </t>
  </si>
  <si>
    <t xml:space="preserve">TOUR ARVI + EXPLORA</t>
  </si>
  <si>
    <t xml:space="preserve">PARQUE EXPLORA</t>
  </si>
  <si>
    <t xml:space="preserve">METROCABLE</t>
  </si>
  <si>
    <t xml:space="preserve">MIRADOR EL CIELO</t>
  </si>
  <si>
    <t xml:space="preserve">CITY TUOR + COMUNA 13</t>
  </si>
  <si>
    <t xml:space="preserve">MOTO CARRO </t>
  </si>
  <si>
    <t xml:space="preserve">TOUR ARVÍ + RETIRO</t>
  </si>
  <si>
    <t xml:space="preserve">CITY TOUR + PARQUE EXPLORA</t>
  </si>
  <si>
    <t xml:space="preserve">GUATAPE 450</t>
  </si>
  <si>
    <t xml:space="preserve">TRANSFER 260</t>
  </si>
  <si>
    <t xml:space="preserve">CITY DIA 1  150</t>
  </si>
  <si>
    <t xml:space="preserve">CITY DIA 2 150</t>
  </si>
  <si>
    <t xml:space="preserve">RETIRO Y ARVI  300</t>
  </si>
  <si>
    <t xml:space="preserve">CITY + COMUNA 13 </t>
  </si>
  <si>
    <t xml:space="preserve">CITY TOUR + EXPLORA + COMPRAS </t>
  </si>
  <si>
    <t xml:space="preserve">TOUR ARVI + RETIRO</t>
  </si>
  <si>
    <t xml:space="preserve">GRUPO EXCALIBUR X  6 PAX </t>
  </si>
  <si>
    <t xml:space="preserve">FEBRERO  15 AL 23 </t>
  </si>
  <si>
    <t xml:space="preserve">VUELOS </t>
  </si>
  <si>
    <t xml:space="preserve"> WINGO #7433 </t>
  </si>
  <si>
    <t xml:space="preserve">HORA 10:14 AM</t>
  </si>
  <si>
    <t xml:space="preserve">CITY TOUR + COMUNA 13</t>
  </si>
  <si>
    <t xml:space="preserve">WINGO #7430</t>
  </si>
  <si>
    <t xml:space="preserve">HORA 14:54 PM</t>
  </si>
  <si>
    <t xml:space="preserve">CITY  TOUR </t>
  </si>
  <si>
    <t xml:space="preserve">TOUR SANTA ELENA </t>
  </si>
  <si>
    <t xml:space="preserve">TOUR JARDIN </t>
  </si>
  <si>
    <t xml:space="preserve">TOUR JERICO</t>
  </si>
  <si>
    <t xml:space="preserve">TOUR JARDIN + JERICO </t>
  </si>
  <si>
    <t xml:space="preserve">TOUR NOCTURNO </t>
  </si>
  <si>
    <t xml:space="preserve">FINCA</t>
  </si>
  <si>
    <t xml:space="preserve">ALMUERZO + ENTRADA</t>
  </si>
  <si>
    <t xml:space="preserve">WALKING TOUR OPCION 1</t>
  </si>
  <si>
    <t xml:space="preserve">OPCION 1</t>
  </si>
  <si>
    <t xml:space="preserve">WALKING TOUR </t>
  </si>
  <si>
    <t xml:space="preserve">No DE PAX </t>
  </si>
  <si>
    <t xml:space="preserve">VALOR </t>
  </si>
  <si>
    <t xml:space="preserve">HASTA 2 </t>
  </si>
  <si>
    <t xml:space="preserve">HASTA 4</t>
  </si>
  <si>
    <t xml:space="preserve">Frutas y Palenquera</t>
  </si>
  <si>
    <t xml:space="preserve">HASTA 6</t>
  </si>
  <si>
    <t xml:space="preserve">Peinado</t>
  </si>
  <si>
    <t xml:space="preserve">Dron </t>
  </si>
  <si>
    <t xml:space="preserve">GUATAPE</t>
  </si>
  <si>
    <r>
      <rPr>
        <b val="true"/>
        <sz val="11"/>
        <color theme="1"/>
        <rFont val="Aptos Narrow"/>
        <family val="2"/>
        <charset val="1"/>
      </rPr>
      <t xml:space="preserve">12 HORAS</t>
    </r>
    <r>
      <rPr>
        <sz val="11"/>
        <color theme="1"/>
        <rFont val="Aptos Narrow"/>
        <family val="2"/>
        <charset val="1"/>
      </rPr>
      <t xml:space="preserve"> FULL DAY (ALMUERZO, RECORRIDO EN BARCO POR EL EMBALSE Y RECORRIDO EN MOTO CARRO)</t>
    </r>
  </si>
  <si>
    <r>
      <rPr>
        <b val="true"/>
        <sz val="11"/>
        <color theme="1"/>
        <rFont val="Aptos Narrow"/>
        <family val="2"/>
        <charset val="1"/>
      </rPr>
      <t xml:space="preserve">4 HORAS </t>
    </r>
    <r>
      <rPr>
        <sz val="11"/>
        <color theme="1"/>
        <rFont val="Aptos Narrow"/>
        <family val="2"/>
        <charset val="1"/>
      </rPr>
      <t xml:space="preserve">DE TOUR (METRO, METRO CABLE Y TRANVIA, ALMUERZO)
</t>
    </r>
    <r>
      <rPr>
        <b val="true"/>
        <sz val="11"/>
        <color theme="1"/>
        <rFont val="Aptos Narrow"/>
        <family val="2"/>
        <charset val="1"/>
      </rPr>
      <t xml:space="preserve">3 HORAS </t>
    </r>
    <r>
      <rPr>
        <sz val="11"/>
        <color theme="1"/>
        <rFont val="Aptos Narrow"/>
        <family val="2"/>
        <charset val="1"/>
      </rPr>
      <t xml:space="preserve">CHIVA RUMBERA </t>
    </r>
  </si>
  <si>
    <t xml:space="preserve">PARQUE ARVÍ + RETIRO</t>
  </si>
  <si>
    <r>
      <rPr>
        <b val="true"/>
        <sz val="11"/>
        <color theme="1"/>
        <rFont val="Aptos Narrow"/>
        <family val="2"/>
        <charset val="1"/>
      </rPr>
      <t xml:space="preserve">10 HORAS </t>
    </r>
    <r>
      <rPr>
        <sz val="11"/>
        <color theme="1"/>
        <rFont val="Aptos Narrow"/>
        <family val="2"/>
        <charset val="1"/>
      </rPr>
      <t xml:space="preserve">FULL DAY (ALMUERZO, METRO CABLE)</t>
    </r>
  </si>
  <si>
    <t xml:space="preserve">CITY TOUR O COMUNA 13 Y PARQUE EXPLORA</t>
  </si>
  <si>
    <t xml:space="preserve">7 HORAS DE TOUR (ALMUERZO ENTRADA AL PARQUE)</t>
  </si>
  <si>
    <t xml:space="preserve">Sábado</t>
  </si>
  <si>
    <t xml:space="preserve">Domingo</t>
  </si>
  <si>
    <t xml:space="preserve">Lunes</t>
  </si>
  <si>
    <t xml:space="preserve">Martes</t>
  </si>
  <si>
    <t xml:space="preserve">CITY TOUR Barranquilla no solo se visita… ¡se siente!
 Recorre la ciudad donde nació el Carnaval más importante de Colombia, sumérgete en la historia caribeña y disfruta del ritmo, la cultura y la calidez de su gente. Desde el Gran Malecón y la Casa del Carnaval, por que  cada rincón tiene una historia que contar.
Pernoctación barranquilla.</t>
  </si>
  <si>
    <t xml:space="preserve">Miércoles</t>
  </si>
  <si>
    <t xml:space="preserve">Jueves</t>
  </si>
  <si>
    <t xml:space="preserve">TOUR BAHIA</t>
  </si>
  <si>
    <t xml:space="preserve">Viernes</t>
  </si>
  <si>
    <t xml:space="preserve">VALOR</t>
  </si>
  <si>
    <t xml:space="preserve">Recogida en aeropuerto a las 13:00 horas y traslado al
Hotel GIO TAMA, Cra 3 # 7 – 171, Bocagrande</t>
  </si>
  <si>
    <r>
      <rPr>
        <sz val="11"/>
        <color theme="1"/>
        <rFont val="Aptos Narrow"/>
        <family val="2"/>
        <charset val="1"/>
      </rPr>
      <t xml:space="preserve">Tour de 90 minutos por la bahía de Cartagena de indias.
Recogida en el hotel </t>
    </r>
    <r>
      <rPr>
        <sz val="11"/>
        <color theme="1"/>
        <rFont val="Aptos Narrow"/>
        <family val="2"/>
      </rPr>
      <t xml:space="preserve">GIO TAMA, Cra 3 # 7 – 171, Bocagrande a las 16:15 horas y llevar al muelle de la Bodeguita.
Recoger a las 19:20 hrs. En el parque de la Marina.</t>
    </r>
  </si>
  <si>
    <t xml:space="preserve">Recogida en el hotel a las 9:00 am, 4 horas de tour </t>
  </si>
  <si>
    <t xml:space="preserve">FOTOS + museo carnaval</t>
  </si>
  <si>
    <t xml:space="preserve">DIA </t>
  </si>
  <si>
    <t xml:space="preserve">ACTIVIDADES </t>
  </si>
  <si>
    <t xml:space="preserve">MARLADI</t>
  </si>
  <si>
    <t xml:space="preserve">REINA</t>
  </si>
  <si>
    <t xml:space="preserve">JUEVES </t>
  </si>
  <si>
    <t xml:space="preserve">PASAJES AEROPUERTO MEDELLIN </t>
  </si>
  <si>
    <t xml:space="preserve">PASAJES MEDELLIN - ARMENIA</t>
  </si>
  <si>
    <t xml:space="preserve">VIERNES </t>
  </si>
  <si>
    <t xml:space="preserve">HOTEL ARMENIA </t>
  </si>
  <si>
    <t xml:space="preserve">TAXIS ARMENIA </t>
  </si>
  <si>
    <t xml:space="preserve">ENTRADA PARQUE DE LA VIDA </t>
  </si>
  <si>
    <t xml:space="preserve">ALMUERZO ARMENIA </t>
  </si>
  <si>
    <t xml:space="preserve">SABADO</t>
  </si>
  <si>
    <t xml:space="preserve">PASAJES ARMENIA SALENTO</t>
  </si>
  <si>
    <t xml:space="preserve">PASAJES SALENTO VALLE DEL COCORA</t>
  </si>
  <si>
    <t xml:space="preserve">PASAJES SALENTO - FILANDIA </t>
  </si>
  <si>
    <t xml:space="preserve">ALMUERZO FILANDIA </t>
  </si>
  <si>
    <t xml:space="preserve">ENTRADA A MIRADOR</t>
  </si>
  <si>
    <t xml:space="preserve">PASAJES FILANDIA - ARMENIA </t>
  </si>
  <si>
    <t xml:space="preserve">DOMINGO</t>
  </si>
  <si>
    <t xml:space="preserve">PASAJE ARMENIA - PEREIRA </t>
  </si>
  <si>
    <t xml:space="preserve">PASAJE PEREIRA - SANTA ROSA</t>
  </si>
  <si>
    <t xml:space="preserve">PASAJE JEEP TERMALES </t>
  </si>
  <si>
    <t xml:space="preserve">PASAJE PEREIRA - ARMENIA </t>
  </si>
  <si>
    <t xml:space="preserve">ENTRADA TERMALES </t>
  </si>
  <si>
    <t xml:space="preserve">LUNES </t>
  </si>
  <si>
    <t xml:space="preserve">PASAJES ARMENIA - QUIMBAYA </t>
  </si>
  <si>
    <t xml:space="preserve">ALMUERZO QUIMBAYA</t>
  </si>
  <si>
    <t xml:space="preserve">PASAJES QUIMBAYA - ARMENIA</t>
  </si>
  <si>
    <t xml:space="preserve">PASAJES ARMENIA -MEDELLIN</t>
  </si>
</sst>
</file>

<file path=xl/styles.xml><?xml version="1.0" encoding="utf-8"?>
<styleSheet xmlns="http://schemas.openxmlformats.org/spreadsheetml/2006/main">
  <numFmts count="10">
    <numFmt numFmtId="164" formatCode="General"/>
    <numFmt numFmtId="165" formatCode="mmm\-yy"/>
    <numFmt numFmtId="166" formatCode="&quot;$ &quot;#,##0"/>
    <numFmt numFmtId="167" formatCode="dd\-mmm"/>
    <numFmt numFmtId="168" formatCode="&quot;$ &quot;#,##0;[RED]&quot;-$ &quot;#,##0"/>
    <numFmt numFmtId="169" formatCode="0"/>
    <numFmt numFmtId="170" formatCode="#,##0"/>
    <numFmt numFmtId="171" formatCode="_-&quot;$ &quot;* #,##0.00_-;&quot;-$ &quot;* #,##0.00_-;_-&quot;$ &quot;* \-??_-;_-@_-"/>
    <numFmt numFmtId="172" formatCode="hh:mm\ AM/PM"/>
    <numFmt numFmtId="173" formatCode="_-&quot;$ &quot;* #,##0_-;&quot;-$ &quot;* #,##0_-;_-&quot;$ &quot;* \-??_-;_-@_-"/>
  </numFmts>
  <fonts count="36">
    <font>
      <sz val="11"/>
      <color theme="1"/>
      <name val="Aptos Narrow"/>
      <family val="2"/>
      <charset val="1"/>
    </font>
    <font>
      <sz val="10"/>
      <name val="Arial"/>
      <family val="0"/>
    </font>
    <font>
      <sz val="10"/>
      <name val="Arial"/>
      <family val="0"/>
    </font>
    <font>
      <sz val="10"/>
      <name val="Arial"/>
      <family val="0"/>
    </font>
    <font>
      <sz val="20"/>
      <color theme="1"/>
      <name val="Aptos Narrow"/>
      <family val="2"/>
      <charset val="1"/>
    </font>
    <font>
      <b val="true"/>
      <i val="true"/>
      <sz val="16"/>
      <color rgb="FFFF0000"/>
      <name val="Aptos Narrow"/>
      <family val="2"/>
      <charset val="1"/>
    </font>
    <font>
      <sz val="16"/>
      <color theme="1"/>
      <name val="Aptos Narrow"/>
      <family val="2"/>
      <charset val="1"/>
    </font>
    <font>
      <sz val="16"/>
      <name val="Aptos Narrow"/>
      <family val="2"/>
      <charset val="1"/>
    </font>
    <font>
      <b val="true"/>
      <sz val="16"/>
      <color rgb="FFFF0000"/>
      <name val="Aptos Narrow"/>
      <family val="2"/>
      <charset val="1"/>
    </font>
    <font>
      <b val="true"/>
      <sz val="16"/>
      <color rgb="FF0070C0"/>
      <name val="Aptos Narrow"/>
      <family val="2"/>
      <charset val="1"/>
    </font>
    <font>
      <b val="true"/>
      <sz val="16"/>
      <name val="Aptos Narrow"/>
      <family val="2"/>
      <charset val="1"/>
    </font>
    <font>
      <i val="true"/>
      <sz val="16"/>
      <name val="Aptos Narrow"/>
      <family val="2"/>
      <charset val="1"/>
    </font>
    <font>
      <sz val="14"/>
      <name val="Aptos Narrow"/>
      <family val="2"/>
      <charset val="1"/>
    </font>
    <font>
      <sz val="10"/>
      <name val="Aptos Narrow"/>
      <family val="2"/>
      <charset val="1"/>
    </font>
    <font>
      <sz val="16"/>
      <color rgb="FFFF0000"/>
      <name val="Aptos Narrow"/>
      <family val="2"/>
      <charset val="1"/>
    </font>
    <font>
      <sz val="11"/>
      <name val="Aptos Narrow"/>
      <family val="2"/>
      <charset val="1"/>
    </font>
    <font>
      <b val="true"/>
      <sz val="14"/>
      <color theme="1"/>
      <name val="Aptos Narrow"/>
      <family val="2"/>
      <charset val="1"/>
    </font>
    <font>
      <b val="true"/>
      <sz val="11"/>
      <color theme="1"/>
      <name val="Aptos Narrow"/>
      <family val="2"/>
      <charset val="1"/>
    </font>
    <font>
      <b val="true"/>
      <sz val="12"/>
      <color theme="1"/>
      <name val="Aptos Narrow"/>
      <family val="2"/>
      <charset val="1"/>
    </font>
    <font>
      <b val="true"/>
      <sz val="11"/>
      <name val="Aptos Narrow"/>
      <family val="2"/>
      <charset val="1"/>
    </font>
    <font>
      <sz val="14"/>
      <color theme="1"/>
      <name val="Aptos Narrow"/>
      <family val="2"/>
      <charset val="1"/>
    </font>
    <font>
      <sz val="14"/>
      <color theme="4" tint="-0.5"/>
      <name val="Aptos Narrow"/>
      <family val="2"/>
      <charset val="1"/>
    </font>
    <font>
      <sz val="10"/>
      <color theme="4" tint="-0.5"/>
      <name val="Aptos Narrow"/>
      <family val="2"/>
      <charset val="1"/>
    </font>
    <font>
      <sz val="11"/>
      <color theme="4" tint="-0.5"/>
      <name val="Aptos Narrow"/>
      <family val="2"/>
      <charset val="1"/>
    </font>
    <font>
      <sz val="12"/>
      <name val="Aptos Narrow"/>
      <family val="2"/>
      <charset val="1"/>
    </font>
    <font>
      <sz val="24"/>
      <color theme="1"/>
      <name val="Aptos Narrow"/>
      <family val="2"/>
      <charset val="1"/>
    </font>
    <font>
      <sz val="18"/>
      <color theme="1"/>
      <name val="Aptos Narrow"/>
      <family val="2"/>
      <charset val="1"/>
    </font>
    <font>
      <b val="true"/>
      <sz val="16"/>
      <color theme="1"/>
      <name val="Aptos Narrow"/>
      <family val="2"/>
      <charset val="1"/>
    </font>
    <font>
      <sz val="18"/>
      <name val="Aptos Narrow"/>
      <family val="2"/>
      <charset val="1"/>
    </font>
    <font>
      <sz val="12"/>
      <color theme="1"/>
      <name val="Aptos Narrow"/>
      <family val="2"/>
      <charset val="1"/>
    </font>
    <font>
      <sz val="11"/>
      <color theme="1"/>
      <name val="Aptos Narrow"/>
      <family val="2"/>
    </font>
    <font>
      <sz val="11"/>
      <color rgb="FFFF0000"/>
      <name val="Aptos Narrow"/>
      <family val="2"/>
      <charset val="1"/>
    </font>
    <font>
      <b val="true"/>
      <sz val="11"/>
      <color rgb="FFFF0000"/>
      <name val="Aptos Narrow"/>
      <family val="2"/>
      <charset val="1"/>
    </font>
    <font>
      <b val="true"/>
      <sz val="11"/>
      <color theme="8"/>
      <name val="Aptos Narrow"/>
      <family val="2"/>
      <charset val="1"/>
    </font>
    <font>
      <b val="true"/>
      <sz val="11"/>
      <color rgb="FF7030A0"/>
      <name val="Aptos Narrow"/>
      <family val="2"/>
      <charset val="1"/>
    </font>
    <font>
      <b val="true"/>
      <sz val="11"/>
      <color theme="9"/>
      <name val="Aptos Narrow"/>
      <family val="2"/>
      <charset val="1"/>
    </font>
  </fonts>
  <fills count="8">
    <fill>
      <patternFill patternType="none"/>
    </fill>
    <fill>
      <patternFill patternType="gray125"/>
    </fill>
    <fill>
      <patternFill patternType="solid">
        <fgColor rgb="FFFFFF00"/>
        <bgColor rgb="FFFFFF00"/>
      </patternFill>
    </fill>
    <fill>
      <patternFill patternType="solid">
        <fgColor theme="2" tint="-0.1"/>
        <bgColor rgb="FFF6C6AD"/>
      </patternFill>
    </fill>
    <fill>
      <patternFill patternType="solid">
        <fgColor theme="3" tint="0.7499"/>
        <bgColor rgb="FF83CBEB"/>
      </patternFill>
    </fill>
    <fill>
      <patternFill patternType="solid">
        <fgColor theme="5" tint="0.5999"/>
        <bgColor rgb="FFD1D1D1"/>
      </patternFill>
    </fill>
    <fill>
      <patternFill patternType="solid">
        <fgColor theme="4" tint="0.5999"/>
        <bgColor rgb="FFA6CAEC"/>
      </patternFill>
    </fill>
    <fill>
      <patternFill patternType="solid">
        <fgColor theme="0"/>
        <bgColor rgb="FFFFFFCC"/>
      </patternFill>
    </fill>
  </fills>
  <borders count="29">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diagonal/>
    </border>
    <border diagonalUp="false" diagonalDown="false">
      <left/>
      <right/>
      <top style="thin"/>
      <bottom style="double"/>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style="thin"/>
      <top style="medium"/>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top style="medium"/>
      <bottom style="medium"/>
      <diagonal/>
    </border>
    <border diagonalUp="false" diagonalDown="false">
      <left/>
      <right style="medium"/>
      <top/>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style="thin"/>
      <bottom style="double"/>
      <diagonal/>
    </border>
    <border diagonalUp="false" diagonalDown="false">
      <left style="thin"/>
      <right style="medium"/>
      <top style="thin"/>
      <bottom style="double"/>
      <diagonal/>
    </border>
    <border diagonalUp="false" diagonalDown="false">
      <left style="thin"/>
      <right style="thin"/>
      <top style="thin"/>
      <bottom/>
      <diagonal/>
    </border>
    <border diagonalUp="false" diagonalDown="false">
      <left style="thin"/>
      <right style="thin"/>
      <top/>
      <bottom style="medium"/>
      <diagonal/>
    </border>
    <border diagonalUp="false" diagonalDown="false">
      <left style="medium"/>
      <right style="thin"/>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cellStyleXfs>
  <cellXfs count="171">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6" fillId="0" borderId="2"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6" fillId="0" borderId="3" xfId="0" applyFont="true" applyBorder="true" applyAlignment="false" applyProtection="false">
      <alignment horizontal="general" vertical="bottom" textRotation="0" wrapText="false" indent="0" shrinkToFit="false"/>
      <protection locked="true" hidden="false"/>
    </xf>
    <xf numFmtId="166" fontId="8" fillId="0" borderId="4"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4" fontId="10" fillId="0" borderId="5" xfId="0" applyFont="true" applyBorder="true" applyAlignment="true" applyProtection="false">
      <alignment horizontal="center" vertical="bottom" textRotation="0" wrapText="false" indent="0" shrinkToFit="false"/>
      <protection locked="true" hidden="false"/>
    </xf>
    <xf numFmtId="164" fontId="7" fillId="0" borderId="6" xfId="0" applyFont="true" applyBorder="true" applyAlignment="false" applyProtection="false">
      <alignment horizontal="general" vertical="bottom" textRotation="0" wrapText="false" indent="0" shrinkToFit="false"/>
      <protection locked="true" hidden="false"/>
    </xf>
    <xf numFmtId="166" fontId="7" fillId="0" borderId="6"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9"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6" fontId="6" fillId="3" borderId="3" xfId="0" applyFont="true" applyBorder="true" applyAlignment="false" applyProtection="false">
      <alignment horizontal="general" vertical="bottom" textRotation="0" wrapText="false" indent="0" shrinkToFit="false"/>
      <protection locked="true" hidden="false"/>
    </xf>
    <xf numFmtId="166" fontId="8" fillId="3" borderId="4" xfId="0" applyFont="true" applyBorder="tru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7" fillId="0" borderId="7"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6" fillId="4" borderId="8" xfId="0" applyFont="true" applyBorder="true" applyAlignment="true" applyProtection="false">
      <alignment horizontal="center" vertical="bottom" textRotation="0" wrapText="false" indent="0" shrinkToFit="false"/>
      <protection locked="true" hidden="false"/>
    </xf>
    <xf numFmtId="164" fontId="16" fillId="4" borderId="9" xfId="0" applyFont="true" applyBorder="true" applyAlignment="true" applyProtection="false">
      <alignment horizontal="center" vertical="bottom" textRotation="0" wrapText="false" indent="0" shrinkToFit="false"/>
      <protection locked="true" hidden="false"/>
    </xf>
    <xf numFmtId="164" fontId="16" fillId="4" borderId="1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7" fontId="0" fillId="0" borderId="11" xfId="0" applyFont="false" applyBorder="true" applyAlignment="true" applyProtection="false">
      <alignment horizontal="center" vertical="center" textRotation="0" wrapText="false" indent="0" shrinkToFit="false"/>
      <protection locked="true" hidden="false"/>
    </xf>
    <xf numFmtId="164" fontId="17" fillId="0" borderId="6" xfId="0" applyFont="true" applyBorder="true" applyAlignment="true" applyProtection="false">
      <alignment horizontal="left" vertical="center" textRotation="0" wrapText="true" indent="0" shrinkToFit="false"/>
      <protection locked="true" hidden="false"/>
    </xf>
    <xf numFmtId="164" fontId="0" fillId="0" borderId="12" xfId="0" applyFont="true" applyBorder="true" applyAlignment="true" applyProtection="false">
      <alignment horizontal="general" vertical="bottom" textRotation="0" wrapText="true" indent="0" shrinkToFit="false"/>
      <protection locked="true" hidden="false"/>
    </xf>
    <xf numFmtId="167" fontId="0" fillId="0" borderId="13" xfId="0" applyFont="fals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left" vertical="center" textRotation="0" wrapText="fals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67" fontId="0" fillId="0" borderId="15" xfId="0" applyFont="false" applyBorder="true" applyAlignment="true" applyProtection="false">
      <alignment horizontal="center" vertical="center" textRotation="0" wrapText="false" indent="0" shrinkToFit="false"/>
      <protection locked="true" hidden="false"/>
    </xf>
    <xf numFmtId="164" fontId="17" fillId="0" borderId="16" xfId="0" applyFont="true" applyBorder="true" applyAlignment="true" applyProtection="false">
      <alignment horizontal="left" vertical="center" textRotation="0" wrapText="false" indent="0" shrinkToFit="false"/>
      <protection locked="true" hidden="false"/>
    </xf>
    <xf numFmtId="164" fontId="0" fillId="0" borderId="17" xfId="0" applyFont="true" applyBorder="true" applyAlignment="true" applyProtection="false">
      <alignment horizontal="general" vertical="bottom" textRotation="0" wrapText="true" indent="0" shrinkToFit="false"/>
      <protection locked="true" hidden="false"/>
    </xf>
    <xf numFmtId="164" fontId="18" fillId="0" borderId="18" xfId="0" applyFont="true" applyBorder="true" applyAlignment="true" applyProtection="false">
      <alignment horizontal="center" vertical="bottom" textRotation="0" wrapText="false" indent="0" shrinkToFit="false"/>
      <protection locked="true" hidden="false"/>
    </xf>
    <xf numFmtId="164" fontId="17" fillId="0" borderId="5" xfId="0" applyFont="true" applyBorder="true" applyAlignment="true" applyProtection="false">
      <alignment horizontal="center"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0" fillId="0" borderId="13" xfId="0" applyFont="true" applyBorder="true" applyAlignment="false" applyProtection="false">
      <alignment horizontal="general"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17" fillId="0" borderId="15" xfId="0" applyFont="tru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19" xfId="0" applyFont="fals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true" applyProtection="false">
      <alignment horizontal="general" vertical="center" textRotation="0" wrapText="false" indent="0" shrinkToFit="false"/>
      <protection locked="true" hidden="false"/>
    </xf>
    <xf numFmtId="167" fontId="0" fillId="0" borderId="0" xfId="0" applyFont="false" applyBorder="fals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0" borderId="20" xfId="0" applyFont="true" applyBorder="true" applyAlignment="false" applyProtection="false">
      <alignment horizontal="general" vertical="bottom" textRotation="0" wrapText="false" indent="0" shrinkToFit="false"/>
      <protection locked="true" hidden="false"/>
    </xf>
    <xf numFmtId="166" fontId="7" fillId="0" borderId="21" xfId="0" applyFont="true" applyBorder="true" applyAlignment="false" applyProtection="false">
      <alignment horizontal="general"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6" fontId="7" fillId="0" borderId="14" xfId="0" applyFont="true" applyBorder="true" applyAlignment="false" applyProtection="false">
      <alignment horizontal="general" vertical="bottom" textRotation="0" wrapText="false" indent="0" shrinkToFit="false"/>
      <protection locked="true" hidden="false"/>
    </xf>
    <xf numFmtId="164" fontId="21" fillId="0" borderId="13" xfId="0" applyFont="true" applyBorder="true" applyAlignment="false" applyProtection="false">
      <alignment horizontal="general" vertical="bottom" textRotation="0" wrapText="false" indent="0" shrinkToFit="false"/>
      <protection locked="true" hidden="false"/>
    </xf>
    <xf numFmtId="164" fontId="7" fillId="0" borderId="13" xfId="0" applyFont="true" applyBorder="true" applyAlignment="false" applyProtection="false">
      <alignment horizontal="general" vertical="bottom" textRotation="0" wrapText="false" indent="0" shrinkToFit="false"/>
      <protection locked="true" hidden="false"/>
    </xf>
    <xf numFmtId="164" fontId="7" fillId="0" borderId="22" xfId="0" applyFont="true" applyBorder="true" applyAlignment="false" applyProtection="false">
      <alignment horizontal="general" vertical="bottom" textRotation="0" wrapText="false" indent="0" shrinkToFit="false"/>
      <protection locked="true" hidden="false"/>
    </xf>
    <xf numFmtId="166" fontId="7" fillId="0" borderId="23" xfId="0" applyFont="true" applyBorder="true" applyAlignment="false" applyProtection="false">
      <alignment horizontal="general" vertical="bottom" textRotation="0" wrapText="false" indent="0" shrinkToFit="false"/>
      <protection locked="true" hidden="false"/>
    </xf>
    <xf numFmtId="164" fontId="12" fillId="0" borderId="24" xfId="0" applyFont="true" applyBorder="true" applyAlignment="false" applyProtection="false">
      <alignment horizontal="general" vertical="bottom" textRotation="0" wrapText="false" indent="0" shrinkToFit="false"/>
      <protection locked="true" hidden="false"/>
    </xf>
    <xf numFmtId="166" fontId="7" fillId="0" borderId="25"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7" fillId="6"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6" fontId="0" fillId="0" borderId="1" xfId="17" applyFont="true" applyBorder="true" applyAlignment="true" applyProtection="tru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6" fontId="6" fillId="7"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6" fontId="6"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6" fontId="7" fillId="7" borderId="1" xfId="0" applyFont="true" applyBorder="true" applyAlignment="false" applyProtection="false">
      <alignment horizontal="general" vertical="bottom" textRotation="0" wrapText="false" indent="0" shrinkToFit="false"/>
      <protection locked="true" hidden="false"/>
    </xf>
    <xf numFmtId="166" fontId="8" fillId="7" borderId="0" xfId="0" applyFont="true" applyBorder="false" applyAlignment="false" applyProtection="false">
      <alignment horizontal="general" vertical="bottom" textRotation="0" wrapText="false" indent="0" shrinkToFit="false"/>
      <protection locked="true" hidden="false"/>
    </xf>
    <xf numFmtId="166" fontId="9" fillId="7" borderId="0" xfId="0" applyFont="true" applyBorder="false" applyAlignment="false" applyProtection="false">
      <alignment horizontal="general" vertical="bottom" textRotation="0" wrapText="false" indent="0" shrinkToFit="false"/>
      <protection locked="true" hidden="false"/>
    </xf>
    <xf numFmtId="164" fontId="6" fillId="7" borderId="26" xfId="0" applyFont="true" applyBorder="true" applyAlignment="false" applyProtection="false">
      <alignment horizontal="general" vertical="bottom" textRotation="0" wrapText="false" indent="0" shrinkToFit="false"/>
      <protection locked="true" hidden="false"/>
    </xf>
    <xf numFmtId="166" fontId="6" fillId="7" borderId="26" xfId="0" applyFont="true" applyBorder="true" applyAlignment="false" applyProtection="false">
      <alignment horizontal="general" vertical="bottom" textRotation="0" wrapText="false" indent="0" shrinkToFit="false"/>
      <protection locked="true" hidden="false"/>
    </xf>
    <xf numFmtId="164" fontId="0" fillId="7" borderId="26" xfId="0" applyFont="false" applyBorder="true" applyAlignment="false" applyProtection="false">
      <alignment horizontal="general"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6" fontId="6" fillId="7" borderId="16" xfId="0" applyFont="true" applyBorder="true" applyAlignment="false" applyProtection="false">
      <alignment horizontal="general" vertical="bottom" textRotation="0" wrapText="false" indent="0" shrinkToFit="false"/>
      <protection locked="true" hidden="false"/>
    </xf>
    <xf numFmtId="164" fontId="7" fillId="0" borderId="27" xfId="0" applyFont="true" applyBorder="true" applyAlignment="false" applyProtection="false">
      <alignment horizontal="general" vertical="bottom" textRotation="0" wrapText="false" indent="0" shrinkToFit="false"/>
      <protection locked="true" hidden="false"/>
    </xf>
    <xf numFmtId="166" fontId="6" fillId="0" borderId="27" xfId="0" applyFont="true" applyBorder="tru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26" fillId="0" borderId="1" xfId="0" applyFont="true" applyBorder="true" applyAlignment="false" applyProtection="false">
      <alignment horizontal="general" vertical="bottom" textRotation="0" wrapText="false" indent="0" shrinkToFit="false"/>
      <protection locked="true" hidden="false"/>
    </xf>
    <xf numFmtId="166" fontId="26" fillId="7" borderId="1" xfId="0" applyFont="true" applyBorder="true" applyAlignment="false" applyProtection="false">
      <alignment horizontal="general" vertical="bottom" textRotation="0" wrapText="false" indent="0" shrinkToFit="false"/>
      <protection locked="true" hidden="false"/>
    </xf>
    <xf numFmtId="166" fontId="26" fillId="7" borderId="0" xfId="0" applyFont="true" applyBorder="false" applyAlignment="false" applyProtection="false">
      <alignment horizontal="general" vertical="bottom" textRotation="0" wrapText="false" indent="0" shrinkToFit="false"/>
      <protection locked="true" hidden="false"/>
    </xf>
    <xf numFmtId="166" fontId="28" fillId="7" borderId="1" xfId="0" applyFont="true" applyBorder="true" applyAlignment="false" applyProtection="false">
      <alignment horizontal="general" vertical="bottom" textRotation="0" wrapText="false" indent="0" shrinkToFit="false"/>
      <protection locked="true" hidden="false"/>
    </xf>
    <xf numFmtId="166" fontId="26" fillId="7" borderId="26" xfId="0" applyFont="true" applyBorder="true" applyAlignment="false" applyProtection="false">
      <alignment horizontal="general" vertical="bottom" textRotation="0" wrapText="false" indent="0" shrinkToFit="false"/>
      <protection locked="true" hidden="false"/>
    </xf>
    <xf numFmtId="164" fontId="29" fillId="6" borderId="1" xfId="0" applyFont="true" applyBorder="true" applyAlignment="true" applyProtection="false">
      <alignment horizontal="center" vertical="center" textRotation="0" wrapText="false" indent="0" shrinkToFit="false"/>
      <protection locked="true" hidden="false"/>
    </xf>
    <xf numFmtId="164" fontId="29" fillId="0" borderId="1" xfId="0" applyFont="true" applyBorder="true" applyAlignment="true" applyProtection="false">
      <alignment horizontal="center" vertical="center" textRotation="0" wrapText="false" indent="0" shrinkToFit="false"/>
      <protection locked="true" hidden="false"/>
    </xf>
    <xf numFmtId="167" fontId="29" fillId="0" borderId="1" xfId="0" applyFont="true" applyBorder="true" applyAlignment="true" applyProtection="false">
      <alignment horizontal="center" vertical="center" textRotation="0" wrapText="false" indent="0" shrinkToFit="false"/>
      <protection locked="true" hidden="false"/>
    </xf>
    <xf numFmtId="166" fontId="29" fillId="0" borderId="1" xfId="0" applyFont="true" applyBorder="true" applyAlignment="true" applyProtection="false">
      <alignment horizontal="center" vertical="center" textRotation="0" wrapText="false" indent="0" shrinkToFit="false"/>
      <protection locked="true" hidden="false"/>
    </xf>
    <xf numFmtId="164" fontId="16" fillId="4" borderId="10" xfId="0" applyFont="true" applyBorder="true" applyAlignment="true" applyProtection="false">
      <alignment horizontal="center" vertical="center" textRotation="0" wrapText="false" indent="0" shrinkToFit="false"/>
      <protection locked="true" hidden="false"/>
    </xf>
    <xf numFmtId="164" fontId="0" fillId="0" borderId="12" xfId="0" applyFont="false" applyBorder="true" applyAlignment="true" applyProtection="false">
      <alignment horizontal="general" vertical="center" textRotation="0" wrapText="true" indent="0" shrinkToFit="false"/>
      <protection locked="true" hidden="false"/>
    </xf>
    <xf numFmtId="164" fontId="17" fillId="0" borderId="14"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0" fillId="0" borderId="14" xfId="0" applyFont="true" applyBorder="true" applyAlignment="true" applyProtection="false">
      <alignment horizontal="general" vertical="center" textRotation="0" wrapText="true" indent="0" shrinkToFit="false"/>
      <protection locked="true" hidden="false"/>
    </xf>
    <xf numFmtId="164" fontId="0" fillId="0" borderId="17" xfId="0" applyFont="fals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20" fillId="0" borderId="20" xfId="0" applyFont="true" applyBorder="true" applyAlignment="true" applyProtection="false">
      <alignment horizontal="center" vertical="center" textRotation="0" wrapText="false" indent="0" shrinkToFit="false"/>
      <protection locked="true" hidden="false"/>
    </xf>
    <xf numFmtId="164" fontId="20" fillId="0" borderId="21" xfId="0" applyFont="true" applyBorder="true" applyAlignment="true" applyProtection="false">
      <alignment horizontal="center" vertical="center" textRotation="0" wrapText="false" indent="0" shrinkToFit="false"/>
      <protection locked="true" hidden="false"/>
    </xf>
    <xf numFmtId="164" fontId="17" fillId="0" borderId="6" xfId="0" applyFont="true" applyBorder="true" applyAlignment="true" applyProtection="false">
      <alignment horizontal="center" vertical="center" textRotation="0" wrapText="true" indent="0" shrinkToFit="false"/>
      <protection locked="true" hidden="false"/>
    </xf>
    <xf numFmtId="164" fontId="12" fillId="0" borderId="13" xfId="0" applyFont="true" applyBorder="true" applyAlignment="false" applyProtection="false">
      <alignment horizontal="general" vertical="bottom" textRotation="0" wrapText="false" indent="0" shrinkToFit="false"/>
      <protection locked="true" hidden="false"/>
    </xf>
    <xf numFmtId="164" fontId="20" fillId="0" borderId="14"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2" fillId="0" borderId="15" xfId="0" applyFont="true" applyBorder="true" applyAlignment="false" applyProtection="false">
      <alignment horizontal="general" vertical="bottom" textRotation="0" wrapText="false" indent="0" shrinkToFit="false"/>
      <protection locked="true" hidden="false"/>
    </xf>
    <xf numFmtId="164" fontId="20" fillId="0" borderId="17" xfId="0" applyFont="true" applyBorder="true" applyAlignment="fals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4" borderId="26" xfId="0" applyFont="true" applyBorder="true" applyAlignment="true" applyProtection="false">
      <alignment horizontal="center" vertical="bottom" textRotation="0" wrapText="false" indent="0" shrinkToFit="false"/>
      <protection locked="true" hidden="false"/>
    </xf>
    <xf numFmtId="164" fontId="0" fillId="4" borderId="26" xfId="0" applyFont="true" applyBorder="true" applyAlignment="true" applyProtection="false">
      <alignment horizontal="center" vertical="center" textRotation="0" wrapText="false" indent="0" shrinkToFit="false"/>
      <protection locked="true" hidden="false"/>
    </xf>
    <xf numFmtId="167" fontId="0" fillId="4" borderId="3" xfId="0" applyFont="false" applyBorder="true" applyAlignment="true" applyProtection="false">
      <alignment horizontal="center" vertical="center" textRotation="0" wrapText="false" indent="0" shrinkToFit="false"/>
      <protection locked="true" hidden="false"/>
    </xf>
    <xf numFmtId="164" fontId="0" fillId="0" borderId="2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31" fillId="0" borderId="21" xfId="0" applyFont="true" applyBorder="true" applyAlignment="false" applyProtection="false">
      <alignment horizontal="general" vertical="bottom" textRotation="0" wrapText="false" indent="0" shrinkToFit="false"/>
      <protection locked="true" hidden="false"/>
    </xf>
    <xf numFmtId="164" fontId="0" fillId="0" borderId="26" xfId="0" applyFont="true" applyBorder="true" applyAlignment="false" applyProtection="false">
      <alignment horizontal="general" vertical="bottom" textRotation="0" wrapText="false" indent="0" shrinkToFit="false"/>
      <protection locked="true" hidden="false"/>
    </xf>
    <xf numFmtId="164" fontId="31" fillId="0" borderId="23" xfId="0" applyFont="true" applyBorder="true" applyAlignment="false" applyProtection="false">
      <alignment horizontal="general" vertical="bottom" textRotation="0" wrapText="false" indent="0" shrinkToFit="false"/>
      <protection locked="true" hidden="false"/>
    </xf>
    <xf numFmtId="167" fontId="0" fillId="4" borderId="0" xfId="0" applyFont="false" applyBorder="true" applyAlignment="true" applyProtection="false">
      <alignment horizontal="center" vertical="center"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0" fillId="0" borderId="23" xfId="0" applyFont="false" applyBorder="true" applyAlignment="false" applyProtection="false">
      <alignment horizontal="general" vertical="bottom" textRotation="0" wrapText="false" indent="0" shrinkToFit="false"/>
      <protection locked="true" hidden="false"/>
    </xf>
    <xf numFmtId="164" fontId="31" fillId="0" borderId="14" xfId="0" applyFont="true" applyBorder="tru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7" fontId="0" fillId="4" borderId="2" xfId="0" applyFont="false" applyBorder="true" applyAlignment="true" applyProtection="false">
      <alignment horizontal="center" vertical="center"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1" fillId="0" borderId="1" xfId="0" applyFont="true" applyBorder="true" applyAlignment="false" applyProtection="false">
      <alignment horizontal="general" vertical="bottom" textRotation="0" wrapText="false" indent="0" shrinkToFit="false"/>
      <protection locked="true" hidden="false"/>
    </xf>
    <xf numFmtId="166" fontId="35" fillId="0" borderId="0" xfId="0" applyFont="true" applyBorder="false" applyAlignment="false" applyProtection="false">
      <alignment horizontal="general" vertical="bottom" textRotation="0" wrapText="false" indent="0" shrinkToFit="false"/>
      <protection locked="true" hidden="false"/>
    </xf>
    <xf numFmtId="173" fontId="31"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3" fontId="1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83CBEB"/>
      <rgbColor rgb="FF808080"/>
      <rgbColor rgb="FF9999FF"/>
      <rgbColor rgb="FFA02B93"/>
      <rgbColor rgb="FFFFFFCC"/>
      <rgbColor rgb="FFCCFFFF"/>
      <rgbColor rgb="FF660066"/>
      <rgbColor rgb="FFFF8080"/>
      <rgbColor rgb="FF0070C0"/>
      <rgbColor rgb="FFD1D1D1"/>
      <rgbColor rgb="FF000080"/>
      <rgbColor rgb="FFFF00FF"/>
      <rgbColor rgb="FFFFFF00"/>
      <rgbColor rgb="FF00FFFF"/>
      <rgbColor rgb="FF800080"/>
      <rgbColor rgb="FF800000"/>
      <rgbColor rgb="FF008080"/>
      <rgbColor rgb="FF0000FF"/>
      <rgbColor rgb="FF00CCFF"/>
      <rgbColor rgb="FFCCFFFF"/>
      <rgbColor rgb="FFCCFFCC"/>
      <rgbColor rgb="FFFFFF99"/>
      <rgbColor rgb="FFA6CAEC"/>
      <rgbColor rgb="FFFF99CC"/>
      <rgbColor rgb="FFCC99FF"/>
      <rgbColor rgb="FFF6C6AD"/>
      <rgbColor rgb="FF3366FF"/>
      <rgbColor rgb="FF33CCCC"/>
      <rgbColor rgb="FF99CC00"/>
      <rgbColor rgb="FFFFCC00"/>
      <rgbColor rgb="FFFF9900"/>
      <rgbColor rgb="FFFF6600"/>
      <rgbColor rgb="FF666699"/>
      <rgbColor rgb="FF969696"/>
      <rgbColor rgb="FF0B3041"/>
      <rgbColor rgb="FF4EA72E"/>
      <rgbColor rgb="FF003300"/>
      <rgbColor rgb="FF333300"/>
      <rgbColor rgb="FF993300"/>
      <rgbColor rgb="FF7030A0"/>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7" activeCellId="0" sqref="I7"/>
    </sheetView>
  </sheetViews>
  <sheetFormatPr defaultColWidth="10.6015625" defaultRowHeight="14.25" customHeight="false" zeroHeight="false" outlineLevelRow="0" outlineLevelCol="0"/>
  <cols>
    <col collapsed="false" customWidth="true" hidden="false" outlineLevel="0" max="2" min="2" style="0" width="36.22"/>
    <col collapsed="false" customWidth="true" hidden="false" outlineLevel="0" max="3" min="3" style="0" width="15.78"/>
    <col collapsed="false" customWidth="true" hidden="false" outlineLevel="0" max="5" min="5" style="0" width="13.44"/>
  </cols>
  <sheetData>
    <row r="2" customFormat="false" ht="24.45" hidden="false" customHeight="false" outlineLevel="0" collapsed="false">
      <c r="B2" s="1" t="s">
        <v>0</v>
      </c>
      <c r="C2" s="1"/>
      <c r="D2" s="1"/>
      <c r="E2" s="1"/>
    </row>
    <row r="4" customFormat="false" ht="19.7" hidden="false" customHeight="false" outlineLevel="0" collapsed="false">
      <c r="B4" s="2" t="s">
        <v>1</v>
      </c>
      <c r="C4" s="3" t="n">
        <v>80</v>
      </c>
      <c r="E4" s="4"/>
    </row>
    <row r="5" customFormat="false" ht="19.7" hidden="false" customHeight="false" outlineLevel="0" collapsed="false">
      <c r="B5" s="4"/>
      <c r="C5" s="3"/>
      <c r="E5" s="4" t="s">
        <v>2</v>
      </c>
    </row>
    <row r="6" customFormat="false" ht="19.7" hidden="false" customHeight="false" outlineLevel="0" collapsed="false">
      <c r="B6" s="5" t="s">
        <v>3</v>
      </c>
      <c r="C6" s="6" t="n">
        <v>250</v>
      </c>
      <c r="D6" s="7"/>
      <c r="E6" s="8" t="n">
        <f aca="false">C6/20</f>
        <v>12.5</v>
      </c>
    </row>
    <row r="7" customFormat="false" ht="19.7" hidden="false" customHeight="false" outlineLevel="0" collapsed="false">
      <c r="B7" s="5" t="s">
        <v>4</v>
      </c>
      <c r="C7" s="6" t="n">
        <f aca="false">400000/3200</f>
        <v>125</v>
      </c>
      <c r="D7" s="7"/>
      <c r="E7" s="8" t="n">
        <f aca="false">C7/20</f>
        <v>6.25</v>
      </c>
    </row>
    <row r="8" customFormat="false" ht="19.7" hidden="false" customHeight="false" outlineLevel="0" collapsed="false">
      <c r="B8" s="5" t="s">
        <v>5</v>
      </c>
      <c r="C8" s="9" t="n">
        <f aca="false">400000/3200</f>
        <v>125</v>
      </c>
      <c r="D8" s="7"/>
      <c r="E8" s="8" t="n">
        <f aca="false">C8/20</f>
        <v>6.25</v>
      </c>
    </row>
    <row r="9" customFormat="false" ht="19.7" hidden="false" customHeight="false" outlineLevel="0" collapsed="false">
      <c r="B9" s="5" t="s">
        <v>6</v>
      </c>
      <c r="C9" s="6" t="n">
        <f aca="false">100000/3200</f>
        <v>31.25</v>
      </c>
      <c r="D9" s="7"/>
      <c r="E9" s="8" t="n">
        <f aca="false">C9</f>
        <v>31.25</v>
      </c>
    </row>
    <row r="10" customFormat="false" ht="19.7" hidden="false" customHeight="false" outlineLevel="0" collapsed="false">
      <c r="B10" s="5" t="s">
        <v>7</v>
      </c>
      <c r="C10" s="6" t="n">
        <f aca="false">30000/3200</f>
        <v>9.375</v>
      </c>
      <c r="D10" s="7"/>
      <c r="E10" s="8" t="n">
        <f aca="false">C10</f>
        <v>9.375</v>
      </c>
    </row>
    <row r="11" customFormat="false" ht="19.7" hidden="false" customHeight="false" outlineLevel="0" collapsed="false">
      <c r="B11" s="4" t="s">
        <v>8</v>
      </c>
      <c r="C11" s="3"/>
      <c r="E11" s="10" t="n">
        <f aca="false">E12*5%</f>
        <v>3.28125</v>
      </c>
    </row>
    <row r="12" customFormat="false" ht="19.7" hidden="false" customHeight="false" outlineLevel="0" collapsed="false">
      <c r="B12" s="4" t="s">
        <v>9</v>
      </c>
      <c r="C12" s="3"/>
      <c r="E12" s="11" t="n">
        <f aca="false">E6+E7+E8+E9+E10</f>
        <v>65.625</v>
      </c>
    </row>
    <row r="13" customFormat="false" ht="19.7" hidden="false" customHeight="false" outlineLevel="0" collapsed="false">
      <c r="B13" s="4" t="s">
        <v>10</v>
      </c>
      <c r="C13" s="3"/>
      <c r="E13" s="12" t="n">
        <f aca="false">E12+E11</f>
        <v>68.90625</v>
      </c>
    </row>
    <row r="14" customFormat="false" ht="21" hidden="false" customHeight="false" outlineLevel="0" collapsed="false">
      <c r="B14" s="4"/>
      <c r="C14" s="3"/>
      <c r="E14" s="12"/>
    </row>
  </sheetData>
  <mergeCells count="1">
    <mergeCell ref="B2:E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J71"/>
  <sheetViews>
    <sheetView showFormulas="false" showGridLines="true" showRowColHeaders="true" showZeros="true" rightToLeft="false" tabSelected="false" showOutlineSymbols="true" defaultGridColor="true" view="normal" topLeftCell="A51" colorId="64" zoomScale="100" zoomScaleNormal="100" zoomScalePageLayoutView="100" workbookViewId="0">
      <selection pane="topLeft" activeCell="G64" activeCellId="0" sqref="G64"/>
    </sheetView>
  </sheetViews>
  <sheetFormatPr defaultColWidth="10.6015625" defaultRowHeight="14.25" customHeight="false" zeroHeight="false" outlineLevelRow="0" outlineLevelCol="0"/>
  <cols>
    <col collapsed="false" customWidth="true" hidden="false" outlineLevel="0" max="2" min="2" style="0" width="36.22"/>
    <col collapsed="false" customWidth="true" hidden="false" outlineLevel="0" max="3" min="3" style="0" width="15.78"/>
    <col collapsed="false" customWidth="true" hidden="false" outlineLevel="0" max="5" min="5" style="0" width="13.44"/>
    <col collapsed="false" customWidth="true" hidden="false" outlineLevel="0" max="7" min="7" style="0" width="36.22"/>
    <col collapsed="false" customWidth="true" hidden="false" outlineLevel="0" max="8" min="8" style="0" width="13.44"/>
    <col collapsed="false" customWidth="true" hidden="false" outlineLevel="0" max="10" min="10" style="0" width="13.44"/>
  </cols>
  <sheetData>
    <row r="3" customFormat="false" ht="19.7" hidden="false" customHeight="false" outlineLevel="0" collapsed="false">
      <c r="B3" s="13" t="s">
        <v>11</v>
      </c>
      <c r="C3" s="14" t="n">
        <v>25</v>
      </c>
      <c r="E3" s="3"/>
    </row>
    <row r="4" customFormat="false" ht="19.7" hidden="false" customHeight="false" outlineLevel="0" collapsed="false">
      <c r="B4" s="4"/>
      <c r="C4" s="3"/>
      <c r="E4" s="4" t="s">
        <v>2</v>
      </c>
    </row>
    <row r="5" customFormat="false" ht="19.7" hidden="false" customHeight="false" outlineLevel="0" collapsed="false">
      <c r="B5" s="5" t="s">
        <v>2</v>
      </c>
      <c r="C5" s="6" t="n">
        <f aca="false">350000*2</f>
        <v>700000</v>
      </c>
      <c r="E5" s="6" t="n">
        <f aca="false">C5/30</f>
        <v>23333.3333333333</v>
      </c>
      <c r="G5" s="15" t="s">
        <v>12</v>
      </c>
      <c r="H5" s="15"/>
      <c r="I5" s="15"/>
    </row>
    <row r="6" customFormat="false" ht="19.7" hidden="false" customHeight="false" outlineLevel="0" collapsed="false">
      <c r="B6" s="5" t="s">
        <v>7</v>
      </c>
      <c r="C6" s="6" t="n">
        <v>10000</v>
      </c>
      <c r="E6" s="6" t="n">
        <f aca="false">C6</f>
        <v>10000</v>
      </c>
      <c r="G6" s="16" t="s">
        <v>13</v>
      </c>
      <c r="H6" s="17" t="n">
        <v>25</v>
      </c>
      <c r="I6" s="17" t="n">
        <v>25</v>
      </c>
    </row>
    <row r="7" customFormat="false" ht="19.7" hidden="false" customHeight="false" outlineLevel="0" collapsed="false">
      <c r="B7" s="5" t="s">
        <v>4</v>
      </c>
      <c r="C7" s="6" t="n">
        <v>300000</v>
      </c>
      <c r="E7" s="6" t="n">
        <f aca="false">C7/25</f>
        <v>12000</v>
      </c>
      <c r="G7" s="18" t="s">
        <v>14</v>
      </c>
      <c r="H7" s="9" t="n">
        <v>90</v>
      </c>
      <c r="I7" s="9" t="n">
        <v>90</v>
      </c>
    </row>
    <row r="8" customFormat="false" ht="19.7" hidden="false" customHeight="false" outlineLevel="0" collapsed="false">
      <c r="B8" s="4" t="s">
        <v>15</v>
      </c>
      <c r="C8" s="3" t="n">
        <v>200000</v>
      </c>
      <c r="E8" s="10" t="n">
        <f aca="false">C8/30</f>
        <v>6666.66666666667</v>
      </c>
      <c r="G8" s="19" t="s">
        <v>16</v>
      </c>
      <c r="H8" s="20" t="n">
        <v>110</v>
      </c>
      <c r="I8" s="9" t="n">
        <v>110</v>
      </c>
    </row>
    <row r="9" customFormat="false" ht="19.7" hidden="false" customHeight="false" outlineLevel="0" collapsed="false">
      <c r="B9" s="4" t="s">
        <v>8</v>
      </c>
      <c r="C9" s="3"/>
      <c r="E9" s="10" t="n">
        <f aca="false">E10*20%</f>
        <v>10400</v>
      </c>
      <c r="G9" s="19" t="s">
        <v>17</v>
      </c>
      <c r="H9" s="9" t="n">
        <v>120</v>
      </c>
      <c r="I9" s="20" t="n">
        <v>120</v>
      </c>
    </row>
    <row r="10" customFormat="false" ht="19.7" hidden="false" customHeight="false" outlineLevel="0" collapsed="false">
      <c r="B10" s="4" t="s">
        <v>9</v>
      </c>
      <c r="C10" s="3"/>
      <c r="E10" s="11" t="n">
        <f aca="false">E5+E6+E7+E8</f>
        <v>52000</v>
      </c>
      <c r="G10" s="21" t="s">
        <v>18</v>
      </c>
      <c r="H10" s="9" t="n">
        <v>70</v>
      </c>
      <c r="I10" s="9" t="n">
        <v>70</v>
      </c>
    </row>
    <row r="11" customFormat="false" ht="19.7" hidden="false" customHeight="false" outlineLevel="0" collapsed="false">
      <c r="B11" s="4" t="s">
        <v>19</v>
      </c>
      <c r="C11" s="3"/>
      <c r="E11" s="12" t="n">
        <f aca="false">E10+E9</f>
        <v>62400</v>
      </c>
      <c r="G11" s="21" t="s">
        <v>20</v>
      </c>
      <c r="H11" s="9" t="n">
        <f aca="false">H6+H7+H8+H10</f>
        <v>295</v>
      </c>
      <c r="I11" s="9" t="n">
        <f aca="false">I6+I7+I9+I10</f>
        <v>305</v>
      </c>
    </row>
    <row r="12" customFormat="false" ht="19.7" hidden="false" customHeight="false" outlineLevel="0" collapsed="false">
      <c r="B12" s="4" t="s">
        <v>21</v>
      </c>
      <c r="C12" s="3"/>
      <c r="E12" s="22" t="n">
        <f aca="false">E11/3500</f>
        <v>17.8285714285714</v>
      </c>
    </row>
    <row r="17" customFormat="false" ht="19.7" hidden="false" customHeight="false" outlineLevel="0" collapsed="false">
      <c r="B17" s="2" t="s">
        <v>14</v>
      </c>
      <c r="C17" s="3" t="n">
        <v>90</v>
      </c>
      <c r="E17" s="3"/>
    </row>
    <row r="18" customFormat="false" ht="19.7" hidden="false" customHeight="false" outlineLevel="0" collapsed="false">
      <c r="B18" s="4"/>
      <c r="C18" s="3"/>
      <c r="E18" s="4" t="s">
        <v>2</v>
      </c>
    </row>
    <row r="19" customFormat="false" ht="19.7" hidden="false" customHeight="false" outlineLevel="0" collapsed="false">
      <c r="B19" s="5" t="s">
        <v>2</v>
      </c>
      <c r="C19" s="6" t="n">
        <v>1200000</v>
      </c>
      <c r="D19" s="7"/>
      <c r="E19" s="6" t="n">
        <f aca="false">C19/30</f>
        <v>40000</v>
      </c>
    </row>
    <row r="20" customFormat="false" ht="19.7" hidden="false" customHeight="false" outlineLevel="0" collapsed="false">
      <c r="B20" s="5" t="s">
        <v>4</v>
      </c>
      <c r="C20" s="6" t="n">
        <v>500000</v>
      </c>
      <c r="D20" s="7"/>
      <c r="E20" s="6" t="n">
        <f aca="false">C20/30</f>
        <v>16666.6666666667</v>
      </c>
    </row>
    <row r="21" customFormat="false" ht="19.7" hidden="false" customHeight="false" outlineLevel="0" collapsed="false">
      <c r="B21" s="21" t="s">
        <v>22</v>
      </c>
      <c r="C21" s="6" t="n">
        <v>200000</v>
      </c>
      <c r="D21" s="7"/>
      <c r="E21" s="6" t="n">
        <f aca="false">C21/30</f>
        <v>6666.66666666667</v>
      </c>
    </row>
    <row r="22" customFormat="false" ht="19.7" hidden="false" customHeight="false" outlineLevel="0" collapsed="false">
      <c r="B22" s="5" t="s">
        <v>23</v>
      </c>
      <c r="C22" s="6" t="n">
        <v>40000</v>
      </c>
      <c r="D22" s="7"/>
      <c r="E22" s="6" t="n">
        <f aca="false">C22</f>
        <v>40000</v>
      </c>
    </row>
    <row r="23" customFormat="false" ht="19.7" hidden="false" customHeight="false" outlineLevel="0" collapsed="false">
      <c r="B23" s="5" t="s">
        <v>24</v>
      </c>
      <c r="C23" s="6" t="n">
        <v>100000</v>
      </c>
      <c r="D23" s="7"/>
      <c r="E23" s="6" t="n">
        <f aca="false">C23</f>
        <v>100000</v>
      </c>
    </row>
    <row r="24" customFormat="false" ht="19.7" hidden="false" customHeight="false" outlineLevel="0" collapsed="false">
      <c r="B24" s="5" t="s">
        <v>25</v>
      </c>
      <c r="C24" s="6" t="n">
        <v>20000</v>
      </c>
      <c r="D24" s="7"/>
      <c r="E24" s="6" t="n">
        <f aca="false">C24</f>
        <v>20000</v>
      </c>
    </row>
    <row r="25" customFormat="false" ht="19.7" hidden="false" customHeight="false" outlineLevel="0" collapsed="false">
      <c r="B25" s="5" t="s">
        <v>26</v>
      </c>
      <c r="C25" s="6" t="n">
        <v>30000</v>
      </c>
      <c r="D25" s="7"/>
      <c r="E25" s="6" t="n">
        <f aca="false">C25</f>
        <v>30000</v>
      </c>
    </row>
    <row r="26" customFormat="false" ht="19.7" hidden="false" customHeight="false" outlineLevel="0" collapsed="false">
      <c r="B26" s="4" t="s">
        <v>8</v>
      </c>
      <c r="C26" s="3"/>
      <c r="E26" s="10" t="n">
        <f aca="false">E27*20%</f>
        <v>50666.6666666667</v>
      </c>
    </row>
    <row r="27" customFormat="false" ht="19.7" hidden="false" customHeight="false" outlineLevel="0" collapsed="false">
      <c r="B27" s="4" t="s">
        <v>9</v>
      </c>
      <c r="C27" s="3"/>
      <c r="E27" s="11" t="n">
        <f aca="false">E19+E20+E23+E22+E24+E25+E21</f>
        <v>253333.333333333</v>
      </c>
    </row>
    <row r="28" customFormat="false" ht="19.7" hidden="false" customHeight="false" outlineLevel="0" collapsed="false">
      <c r="B28" s="4" t="s">
        <v>19</v>
      </c>
      <c r="C28" s="3"/>
      <c r="E28" s="12" t="n">
        <f aca="false">E27+E26</f>
        <v>304000</v>
      </c>
    </row>
    <row r="29" customFormat="false" ht="19.7" hidden="false" customHeight="false" outlineLevel="0" collapsed="false">
      <c r="B29" s="4" t="s">
        <v>21</v>
      </c>
      <c r="C29" s="3"/>
      <c r="E29" s="12" t="n">
        <f aca="false">E28/3500</f>
        <v>86.8571428571429</v>
      </c>
    </row>
    <row r="33" customFormat="false" ht="19.7" hidden="false" customHeight="false" outlineLevel="0" collapsed="false">
      <c r="B33" s="2" t="s">
        <v>18</v>
      </c>
      <c r="C33" s="3" t="n">
        <v>70</v>
      </c>
      <c r="E33" s="3"/>
      <c r="G33" s="2" t="s">
        <v>27</v>
      </c>
      <c r="H33" s="3" t="n">
        <v>110</v>
      </c>
      <c r="J33" s="3"/>
    </row>
    <row r="34" customFormat="false" ht="19.7" hidden="false" customHeight="false" outlineLevel="0" collapsed="false">
      <c r="B34" s="4"/>
      <c r="C34" s="3"/>
      <c r="E34" s="4" t="s">
        <v>2</v>
      </c>
      <c r="G34" s="4"/>
      <c r="H34" s="3"/>
      <c r="J34" s="4" t="s">
        <v>2</v>
      </c>
    </row>
    <row r="35" customFormat="false" ht="19.7" hidden="false" customHeight="false" outlineLevel="0" collapsed="false">
      <c r="B35" s="5" t="s">
        <v>28</v>
      </c>
      <c r="C35" s="6" t="n">
        <v>500000</v>
      </c>
      <c r="D35" s="7"/>
      <c r="E35" s="6" t="n">
        <f aca="false">C35/30</f>
        <v>16666.6666666667</v>
      </c>
      <c r="G35" s="5" t="s">
        <v>28</v>
      </c>
      <c r="H35" s="6" t="n">
        <v>500000</v>
      </c>
      <c r="I35" s="7"/>
      <c r="J35" s="6" t="n">
        <f aca="false">H35/30</f>
        <v>16666.6666666667</v>
      </c>
    </row>
    <row r="36" customFormat="false" ht="19.7" hidden="false" customHeight="false" outlineLevel="0" collapsed="false">
      <c r="B36" s="5" t="s">
        <v>4</v>
      </c>
      <c r="C36" s="6" t="n">
        <v>200000</v>
      </c>
      <c r="D36" s="7"/>
      <c r="E36" s="6" t="n">
        <f aca="false">C36/30</f>
        <v>6666.66666666667</v>
      </c>
      <c r="G36" s="5" t="s">
        <v>4</v>
      </c>
      <c r="H36" s="6" t="n">
        <v>200000</v>
      </c>
      <c r="I36" s="7"/>
      <c r="J36" s="6" t="n">
        <f aca="false">H36/30</f>
        <v>6666.66666666667</v>
      </c>
    </row>
    <row r="37" customFormat="false" ht="19.7" hidden="false" customHeight="false" outlineLevel="0" collapsed="false">
      <c r="B37" s="21" t="s">
        <v>29</v>
      </c>
      <c r="C37" s="6" t="n">
        <v>20000</v>
      </c>
      <c r="D37" s="7"/>
      <c r="E37" s="6" t="n">
        <f aca="false">C37</f>
        <v>20000</v>
      </c>
      <c r="G37" s="21" t="s">
        <v>29</v>
      </c>
      <c r="H37" s="6" t="n">
        <v>32000</v>
      </c>
      <c r="I37" s="7"/>
      <c r="J37" s="6" t="n">
        <f aca="false">H37</f>
        <v>32000</v>
      </c>
    </row>
    <row r="38" customFormat="false" ht="19.7" hidden="false" customHeight="false" outlineLevel="0" collapsed="false">
      <c r="B38" s="5" t="s">
        <v>30</v>
      </c>
      <c r="C38" s="6" t="n">
        <v>150000</v>
      </c>
      <c r="D38" s="7"/>
      <c r="E38" s="6" t="n">
        <f aca="false">C38</f>
        <v>150000</v>
      </c>
      <c r="G38" s="5" t="s">
        <v>30</v>
      </c>
      <c r="H38" s="6" t="n">
        <v>250000</v>
      </c>
      <c r="I38" s="7"/>
      <c r="J38" s="6" t="n">
        <f aca="false">H38</f>
        <v>250000</v>
      </c>
    </row>
    <row r="39" customFormat="false" ht="19.7" hidden="false" customHeight="false" outlineLevel="0" collapsed="false">
      <c r="B39" s="5" t="s">
        <v>7</v>
      </c>
      <c r="C39" s="6" t="n">
        <v>0</v>
      </c>
      <c r="D39" s="7"/>
      <c r="E39" s="6" t="n">
        <f aca="false">C39</f>
        <v>0</v>
      </c>
      <c r="G39" s="5" t="s">
        <v>7</v>
      </c>
      <c r="H39" s="6" t="n">
        <v>0</v>
      </c>
      <c r="I39" s="7"/>
      <c r="J39" s="6" t="n">
        <f aca="false">H39</f>
        <v>0</v>
      </c>
    </row>
    <row r="40" customFormat="false" ht="19.7" hidden="false" customHeight="false" outlineLevel="0" collapsed="false">
      <c r="B40" s="4" t="s">
        <v>8</v>
      </c>
      <c r="C40" s="3"/>
      <c r="E40" s="10" t="n">
        <f aca="false">E41*20%</f>
        <v>38666.6666666667</v>
      </c>
      <c r="G40" s="4" t="s">
        <v>8</v>
      </c>
      <c r="H40" s="3"/>
      <c r="J40" s="10" t="n">
        <f aca="false">J41*20%</f>
        <v>61066.6666666667</v>
      </c>
    </row>
    <row r="41" customFormat="false" ht="19.7" hidden="false" customHeight="false" outlineLevel="0" collapsed="false">
      <c r="B41" s="4" t="s">
        <v>9</v>
      </c>
      <c r="C41" s="3"/>
      <c r="E41" s="11" t="n">
        <f aca="false">E35+E36+E38+E39+E37</f>
        <v>193333.333333333</v>
      </c>
      <c r="G41" s="4" t="s">
        <v>9</v>
      </c>
      <c r="H41" s="3"/>
      <c r="J41" s="11" t="n">
        <f aca="false">J35+J36+J38+J39+J37</f>
        <v>305333.333333333</v>
      </c>
    </row>
    <row r="42" customFormat="false" ht="19.7" hidden="false" customHeight="false" outlineLevel="0" collapsed="false">
      <c r="B42" s="4" t="s">
        <v>19</v>
      </c>
      <c r="C42" s="3"/>
      <c r="E42" s="12" t="n">
        <f aca="false">E41+E40</f>
        <v>232000</v>
      </c>
      <c r="G42" s="4" t="s">
        <v>19</v>
      </c>
      <c r="H42" s="3"/>
      <c r="J42" s="12" t="n">
        <f aca="false">J41+J40</f>
        <v>366400</v>
      </c>
    </row>
    <row r="43" customFormat="false" ht="19.7" hidden="false" customHeight="false" outlineLevel="0" collapsed="false">
      <c r="B43" s="4" t="s">
        <v>21</v>
      </c>
      <c r="C43" s="3"/>
      <c r="E43" s="12" t="n">
        <f aca="false">E42/3500</f>
        <v>66.2857142857143</v>
      </c>
      <c r="G43" s="4" t="s">
        <v>21</v>
      </c>
      <c r="H43" s="3"/>
      <c r="J43" s="12" t="n">
        <f aca="false">J42/3500</f>
        <v>104.685714285714</v>
      </c>
    </row>
    <row r="47" customFormat="false" ht="19.7" hidden="false" customHeight="false" outlineLevel="0" collapsed="false">
      <c r="B47" s="23" t="s">
        <v>31</v>
      </c>
      <c r="C47" s="24" t="n">
        <v>55</v>
      </c>
      <c r="D47" s="25"/>
      <c r="E47" s="24"/>
    </row>
    <row r="48" customFormat="false" ht="19.7" hidden="false" customHeight="false" outlineLevel="0" collapsed="false">
      <c r="B48" s="26"/>
      <c r="C48" s="24"/>
      <c r="D48" s="25"/>
      <c r="E48" s="26" t="s">
        <v>2</v>
      </c>
    </row>
    <row r="49" customFormat="false" ht="19.7" hidden="false" customHeight="false" outlineLevel="0" collapsed="false">
      <c r="B49" s="27" t="s">
        <v>32</v>
      </c>
      <c r="C49" s="28" t="n">
        <v>750000</v>
      </c>
      <c r="D49" s="29"/>
      <c r="E49" s="28" t="n">
        <f aca="false">C49/25</f>
        <v>30000</v>
      </c>
    </row>
    <row r="50" customFormat="false" ht="19.7" hidden="false" customHeight="false" outlineLevel="0" collapsed="false">
      <c r="B50" s="27" t="s">
        <v>4</v>
      </c>
      <c r="C50" s="28" t="n">
        <v>500000</v>
      </c>
      <c r="D50" s="29"/>
      <c r="E50" s="28" t="n">
        <f aca="false">C50/25</f>
        <v>20000</v>
      </c>
    </row>
    <row r="51" customFormat="false" ht="19.7" hidden="false" customHeight="false" outlineLevel="0" collapsed="false">
      <c r="B51" s="30" t="s">
        <v>33</v>
      </c>
      <c r="C51" s="28" t="n">
        <v>30000</v>
      </c>
      <c r="D51" s="29"/>
      <c r="E51" s="28" t="n">
        <f aca="false">C51</f>
        <v>30000</v>
      </c>
    </row>
    <row r="52" customFormat="false" ht="19.7" hidden="false" customHeight="false" outlineLevel="0" collapsed="false">
      <c r="B52" s="27" t="s">
        <v>34</v>
      </c>
      <c r="C52" s="28" t="n">
        <v>30000</v>
      </c>
      <c r="D52" s="29"/>
      <c r="E52" s="28" t="n">
        <f aca="false">C52</f>
        <v>30000</v>
      </c>
    </row>
    <row r="53" customFormat="false" ht="19.7" hidden="false" customHeight="false" outlineLevel="0" collapsed="false">
      <c r="B53" s="27" t="s">
        <v>7</v>
      </c>
      <c r="C53" s="28" t="n">
        <v>30000</v>
      </c>
      <c r="D53" s="29"/>
      <c r="E53" s="28" t="n">
        <f aca="false">C53</f>
        <v>30000</v>
      </c>
    </row>
    <row r="54" customFormat="false" ht="19.7" hidden="false" customHeight="false" outlineLevel="0" collapsed="false">
      <c r="B54" s="26" t="s">
        <v>8</v>
      </c>
      <c r="C54" s="24"/>
      <c r="D54" s="25"/>
      <c r="E54" s="31" t="n">
        <f aca="false">E55*5%</f>
        <v>7000</v>
      </c>
    </row>
    <row r="55" customFormat="false" ht="19.7" hidden="false" customHeight="false" outlineLevel="0" collapsed="false">
      <c r="B55" s="26" t="s">
        <v>9</v>
      </c>
      <c r="C55" s="24"/>
      <c r="D55" s="25"/>
      <c r="E55" s="32" t="n">
        <f aca="false">E49+E50+E52+E53+E51</f>
        <v>140000</v>
      </c>
    </row>
    <row r="56" customFormat="false" ht="19.7" hidden="false" customHeight="false" outlineLevel="0" collapsed="false">
      <c r="B56" s="26" t="s">
        <v>19</v>
      </c>
      <c r="C56" s="24"/>
      <c r="D56" s="25"/>
      <c r="E56" s="33" t="n">
        <f aca="false">E55+E54</f>
        <v>147000</v>
      </c>
    </row>
    <row r="57" customFormat="false" ht="19.7" hidden="false" customHeight="false" outlineLevel="0" collapsed="false">
      <c r="B57" s="26" t="s">
        <v>21</v>
      </c>
      <c r="C57" s="24"/>
      <c r="D57" s="25"/>
      <c r="E57" s="33" t="n">
        <f aca="false">E56/3500</f>
        <v>42</v>
      </c>
    </row>
    <row r="58" customFormat="false" ht="14.25" hidden="false" customHeight="false" outlineLevel="0" collapsed="false">
      <c r="B58" s="25"/>
      <c r="C58" s="25"/>
      <c r="D58" s="25"/>
      <c r="E58" s="25"/>
    </row>
    <row r="59" customFormat="false" ht="14.25" hidden="false" customHeight="false" outlineLevel="0" collapsed="false">
      <c r="B59" s="25"/>
      <c r="C59" s="25"/>
      <c r="D59" s="25"/>
      <c r="E59" s="25"/>
    </row>
    <row r="60" customFormat="false" ht="14.25" hidden="false" customHeight="false" outlineLevel="0" collapsed="false">
      <c r="B60" s="25"/>
      <c r="C60" s="25"/>
      <c r="D60" s="25"/>
      <c r="E60" s="25"/>
    </row>
    <row r="61" customFormat="false" ht="19.7" hidden="false" customHeight="false" outlineLevel="0" collapsed="false">
      <c r="B61" s="23" t="s">
        <v>35</v>
      </c>
      <c r="C61" s="24" t="n">
        <v>55</v>
      </c>
      <c r="D61" s="25"/>
      <c r="E61" s="24"/>
    </row>
    <row r="62" customFormat="false" ht="19.7" hidden="false" customHeight="false" outlineLevel="0" collapsed="false">
      <c r="B62" s="26"/>
      <c r="C62" s="24"/>
      <c r="D62" s="25"/>
      <c r="E62" s="26" t="s">
        <v>2</v>
      </c>
    </row>
    <row r="63" customFormat="false" ht="19.7" hidden="false" customHeight="false" outlineLevel="0" collapsed="false">
      <c r="B63" s="27" t="s">
        <v>32</v>
      </c>
      <c r="C63" s="28" t="n">
        <v>800000</v>
      </c>
      <c r="D63" s="29"/>
      <c r="E63" s="28" t="n">
        <f aca="false">C63/25</f>
        <v>32000</v>
      </c>
    </row>
    <row r="64" customFormat="false" ht="19.7" hidden="false" customHeight="false" outlineLevel="0" collapsed="false">
      <c r="B64" s="27" t="s">
        <v>4</v>
      </c>
      <c r="C64" s="28" t="n">
        <v>500000</v>
      </c>
      <c r="D64" s="29"/>
      <c r="E64" s="28" t="n">
        <f aca="false">C64/25</f>
        <v>20000</v>
      </c>
    </row>
    <row r="65" customFormat="false" ht="19.7" hidden="false" customHeight="false" outlineLevel="0" collapsed="false">
      <c r="B65" s="30" t="s">
        <v>33</v>
      </c>
      <c r="C65" s="28" t="n">
        <v>0</v>
      </c>
      <c r="D65" s="29"/>
      <c r="E65" s="28" t="n">
        <f aca="false">C65</f>
        <v>0</v>
      </c>
    </row>
    <row r="66" customFormat="false" ht="19.7" hidden="false" customHeight="false" outlineLevel="0" collapsed="false">
      <c r="B66" s="27" t="s">
        <v>34</v>
      </c>
      <c r="C66" s="28" t="n">
        <v>0</v>
      </c>
      <c r="D66" s="29"/>
      <c r="E66" s="28" t="n">
        <f aca="false">C66</f>
        <v>0</v>
      </c>
    </row>
    <row r="67" customFormat="false" ht="19.7" hidden="false" customHeight="false" outlineLevel="0" collapsed="false">
      <c r="B67" s="27" t="s">
        <v>7</v>
      </c>
      <c r="C67" s="28" t="n">
        <v>20000</v>
      </c>
      <c r="D67" s="29"/>
      <c r="E67" s="28" t="n">
        <f aca="false">C67</f>
        <v>20000</v>
      </c>
    </row>
    <row r="68" customFormat="false" ht="19.7" hidden="false" customHeight="false" outlineLevel="0" collapsed="false">
      <c r="B68" s="26" t="s">
        <v>8</v>
      </c>
      <c r="C68" s="24"/>
      <c r="D68" s="25"/>
      <c r="E68" s="31" t="n">
        <f aca="false">E69*5%</f>
        <v>3600</v>
      </c>
    </row>
    <row r="69" customFormat="false" ht="19.7" hidden="false" customHeight="false" outlineLevel="0" collapsed="false">
      <c r="B69" s="26" t="s">
        <v>9</v>
      </c>
      <c r="C69" s="24"/>
      <c r="D69" s="25"/>
      <c r="E69" s="32" t="n">
        <f aca="false">E63+E64+E66+E67+E65</f>
        <v>72000</v>
      </c>
    </row>
    <row r="70" customFormat="false" ht="19.7" hidden="false" customHeight="false" outlineLevel="0" collapsed="false">
      <c r="B70" s="26" t="s">
        <v>19</v>
      </c>
      <c r="C70" s="24"/>
      <c r="D70" s="25"/>
      <c r="E70" s="33" t="n">
        <f aca="false">E69+E68</f>
        <v>75600</v>
      </c>
    </row>
    <row r="71" customFormat="false" ht="19.7" hidden="false" customHeight="false" outlineLevel="0" collapsed="false">
      <c r="B71" s="26" t="s">
        <v>21</v>
      </c>
      <c r="C71" s="24"/>
      <c r="D71" s="25"/>
      <c r="E71" s="33" t="n">
        <f aca="false">E70/3500</f>
        <v>21.6</v>
      </c>
    </row>
  </sheetData>
  <mergeCells count="1">
    <mergeCell ref="G5:I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J44"/>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A50" activeCellId="0" sqref="A50"/>
    </sheetView>
  </sheetViews>
  <sheetFormatPr defaultColWidth="10.6015625" defaultRowHeight="14.25" customHeight="false" zeroHeight="false" outlineLevelRow="0" outlineLevelCol="0"/>
  <cols>
    <col collapsed="false" customWidth="true" hidden="false" outlineLevel="0" max="2" min="2" style="0" width="36.22"/>
    <col collapsed="false" customWidth="true" hidden="false" outlineLevel="0" max="3" min="3" style="0" width="15.78"/>
    <col collapsed="false" customWidth="true" hidden="false" outlineLevel="0" max="5" min="5" style="0" width="13.44"/>
    <col collapsed="false" customWidth="true" hidden="false" outlineLevel="0" max="7" min="7" style="0" width="36.22"/>
    <col collapsed="false" customWidth="true" hidden="false" outlineLevel="0" max="8" min="8" style="0" width="15.78"/>
    <col collapsed="false" customWidth="true" hidden="false" outlineLevel="0" max="10" min="10" style="0" width="13.44"/>
  </cols>
  <sheetData>
    <row r="3" customFormat="false" ht="19.7" hidden="false" customHeight="false" outlineLevel="0" collapsed="false">
      <c r="B3" s="2" t="s">
        <v>36</v>
      </c>
      <c r="C3" s="3" t="n">
        <v>90</v>
      </c>
      <c r="E3" s="3"/>
      <c r="G3" s="2" t="s">
        <v>37</v>
      </c>
      <c r="H3" s="3" t="n">
        <v>90</v>
      </c>
      <c r="J3" s="3"/>
    </row>
    <row r="4" customFormat="false" ht="19.7" hidden="false" customHeight="false" outlineLevel="0" collapsed="false">
      <c r="B4" s="4"/>
      <c r="C4" s="3"/>
      <c r="E4" s="4" t="s">
        <v>2</v>
      </c>
      <c r="G4" s="4"/>
      <c r="H4" s="3"/>
      <c r="J4" s="4" t="s">
        <v>2</v>
      </c>
    </row>
    <row r="5" customFormat="false" ht="19.7" hidden="false" customHeight="false" outlineLevel="0" collapsed="false">
      <c r="B5" s="5" t="s">
        <v>3</v>
      </c>
      <c r="C5" s="6" t="n">
        <v>450000</v>
      </c>
      <c r="D5" s="7"/>
      <c r="E5" s="6" t="n">
        <f aca="false">C5/20</f>
        <v>22500</v>
      </c>
      <c r="G5" s="5" t="s">
        <v>2</v>
      </c>
      <c r="H5" s="6" t="n">
        <v>0</v>
      </c>
      <c r="I5" s="7"/>
      <c r="J5" s="6" t="n">
        <f aca="false">H5/30</f>
        <v>0</v>
      </c>
    </row>
    <row r="6" customFormat="false" ht="19.7" hidden="false" customHeight="false" outlineLevel="0" collapsed="false">
      <c r="B6" s="5" t="s">
        <v>4</v>
      </c>
      <c r="C6" s="6" t="n">
        <v>200000</v>
      </c>
      <c r="D6" s="7"/>
      <c r="E6" s="6" t="n">
        <f aca="false">C6/20</f>
        <v>10000</v>
      </c>
      <c r="G6" s="5" t="s">
        <v>4</v>
      </c>
      <c r="H6" s="6" t="n">
        <v>0</v>
      </c>
      <c r="I6" s="7"/>
      <c r="J6" s="6" t="n">
        <f aca="false">H6/30</f>
        <v>0</v>
      </c>
    </row>
    <row r="7" customFormat="false" ht="19.7" hidden="false" customHeight="false" outlineLevel="0" collapsed="false">
      <c r="B7" s="21" t="s">
        <v>22</v>
      </c>
      <c r="C7" s="6" t="n">
        <v>200000</v>
      </c>
      <c r="D7" s="7"/>
      <c r="E7" s="6" t="n">
        <f aca="false">C7/20</f>
        <v>10000</v>
      </c>
      <c r="G7" s="21" t="s">
        <v>22</v>
      </c>
      <c r="H7" s="6" t="n">
        <v>0</v>
      </c>
      <c r="I7" s="7"/>
      <c r="J7" s="6" t="n">
        <f aca="false">H7/30</f>
        <v>0</v>
      </c>
    </row>
    <row r="8" customFormat="false" ht="19.7" hidden="false" customHeight="false" outlineLevel="0" collapsed="false">
      <c r="B8" s="5" t="s">
        <v>23</v>
      </c>
      <c r="C8" s="6" t="n">
        <v>36000</v>
      </c>
      <c r="D8" s="7"/>
      <c r="E8" s="6" t="n">
        <f aca="false">C8</f>
        <v>36000</v>
      </c>
      <c r="G8" s="5" t="s">
        <v>23</v>
      </c>
      <c r="H8" s="6" t="n">
        <v>55000</v>
      </c>
      <c r="I8" s="7"/>
      <c r="J8" s="6" t="n">
        <f aca="false">H8</f>
        <v>55000</v>
      </c>
    </row>
    <row r="9" customFormat="false" ht="19.7" hidden="false" customHeight="false" outlineLevel="0" collapsed="false">
      <c r="B9" s="5"/>
      <c r="C9" s="6" t="n">
        <v>0</v>
      </c>
      <c r="D9" s="7"/>
      <c r="E9" s="6" t="n">
        <f aca="false">C9</f>
        <v>0</v>
      </c>
      <c r="G9" s="5" t="s">
        <v>24</v>
      </c>
      <c r="H9" s="6" t="n">
        <v>0</v>
      </c>
      <c r="I9" s="7"/>
      <c r="J9" s="6" t="n">
        <f aca="false">H9</f>
        <v>0</v>
      </c>
    </row>
    <row r="10" customFormat="false" ht="19.7" hidden="false" customHeight="false" outlineLevel="0" collapsed="false">
      <c r="B10" s="5" t="s">
        <v>25</v>
      </c>
      <c r="C10" s="6" t="n">
        <v>0</v>
      </c>
      <c r="D10" s="7"/>
      <c r="E10" s="6" t="n">
        <f aca="false">C10</f>
        <v>0</v>
      </c>
      <c r="G10" s="5" t="s">
        <v>25</v>
      </c>
      <c r="H10" s="6" t="n">
        <v>0</v>
      </c>
      <c r="I10" s="7"/>
      <c r="J10" s="6" t="n">
        <f aca="false">H10</f>
        <v>0</v>
      </c>
    </row>
    <row r="11" customFormat="false" ht="19.7" hidden="false" customHeight="false" outlineLevel="0" collapsed="false">
      <c r="B11" s="5" t="s">
        <v>7</v>
      </c>
      <c r="C11" s="6" t="n">
        <v>30000</v>
      </c>
      <c r="D11" s="7"/>
      <c r="E11" s="6" t="n">
        <f aca="false">C11</f>
        <v>30000</v>
      </c>
      <c r="G11" s="5" t="s">
        <v>26</v>
      </c>
      <c r="H11" s="6" t="n">
        <v>0</v>
      </c>
      <c r="I11" s="7"/>
      <c r="J11" s="6" t="n">
        <f aca="false">H11</f>
        <v>0</v>
      </c>
    </row>
    <row r="12" customFormat="false" ht="19.7" hidden="false" customHeight="false" outlineLevel="0" collapsed="false">
      <c r="B12" s="4" t="s">
        <v>8</v>
      </c>
      <c r="C12" s="3"/>
      <c r="E12" s="10" t="n">
        <f aca="false">E13*20%</f>
        <v>21700</v>
      </c>
      <c r="G12" s="4" t="s">
        <v>8</v>
      </c>
      <c r="H12" s="3"/>
      <c r="J12" s="10" t="n">
        <f aca="false">J13*20%</f>
        <v>11000</v>
      </c>
    </row>
    <row r="13" customFormat="false" ht="19.7" hidden="false" customHeight="false" outlineLevel="0" collapsed="false">
      <c r="B13" s="4" t="s">
        <v>9</v>
      </c>
      <c r="C13" s="3"/>
      <c r="E13" s="11" t="n">
        <f aca="false">E5+E6+E9+E8+E10+E11+E7</f>
        <v>108500</v>
      </c>
      <c r="G13" s="4" t="s">
        <v>9</v>
      </c>
      <c r="H13" s="3"/>
      <c r="J13" s="11" t="n">
        <f aca="false">J5+J6+J9+J8+J10+J11+J7</f>
        <v>55000</v>
      </c>
    </row>
    <row r="14" customFormat="false" ht="19.7" hidden="false" customHeight="false" outlineLevel="0" collapsed="false">
      <c r="B14" s="4" t="s">
        <v>19</v>
      </c>
      <c r="C14" s="3"/>
      <c r="E14" s="12" t="n">
        <f aca="false">E13+E12</f>
        <v>130200</v>
      </c>
      <c r="G14" s="4" t="s">
        <v>19</v>
      </c>
      <c r="H14" s="3"/>
      <c r="J14" s="12" t="n">
        <f aca="false">J13+J12</f>
        <v>66000</v>
      </c>
    </row>
    <row r="15" customFormat="false" ht="19.7" hidden="false" customHeight="false" outlineLevel="0" collapsed="false">
      <c r="B15" s="4" t="s">
        <v>21</v>
      </c>
      <c r="C15" s="3"/>
      <c r="E15" s="12" t="n">
        <f aca="false">E14/3500</f>
        <v>37.2</v>
      </c>
      <c r="G15" s="4" t="s">
        <v>21</v>
      </c>
      <c r="H15" s="3"/>
      <c r="J15" s="12" t="n">
        <f aca="false">J14/3500</f>
        <v>18.8571428571429</v>
      </c>
    </row>
    <row r="18" customFormat="false" ht="19.7" hidden="false" customHeight="false" outlineLevel="0" collapsed="false">
      <c r="B18" s="2" t="s">
        <v>38</v>
      </c>
      <c r="C18" s="3" t="n">
        <v>0</v>
      </c>
      <c r="E18" s="3"/>
      <c r="G18" s="2" t="s">
        <v>14</v>
      </c>
      <c r="H18" s="3" t="n">
        <v>90</v>
      </c>
      <c r="J18" s="3"/>
    </row>
    <row r="19" customFormat="false" ht="19.7" hidden="false" customHeight="false" outlineLevel="0" collapsed="false">
      <c r="B19" s="4"/>
      <c r="C19" s="3"/>
      <c r="E19" s="4" t="s">
        <v>2</v>
      </c>
      <c r="G19" s="4"/>
      <c r="H19" s="3"/>
      <c r="J19" s="4" t="s">
        <v>2</v>
      </c>
    </row>
    <row r="20" customFormat="false" ht="19.7" hidden="false" customHeight="false" outlineLevel="0" collapsed="false">
      <c r="B20" s="5" t="s">
        <v>39</v>
      </c>
      <c r="C20" s="6" t="n">
        <v>600000</v>
      </c>
      <c r="D20" s="7"/>
      <c r="E20" s="6" t="n">
        <f aca="false">C20/20</f>
        <v>30000</v>
      </c>
      <c r="G20" s="5" t="s">
        <v>2</v>
      </c>
      <c r="H20" s="6" t="n">
        <v>850000</v>
      </c>
      <c r="I20" s="7"/>
      <c r="J20" s="6" t="n">
        <f aca="false">H20/30</f>
        <v>28333.3333333333</v>
      </c>
    </row>
    <row r="21" customFormat="false" ht="19.7" hidden="false" customHeight="false" outlineLevel="0" collapsed="false">
      <c r="B21" s="5" t="s">
        <v>4</v>
      </c>
      <c r="C21" s="6" t="n">
        <v>200000</v>
      </c>
      <c r="D21" s="7"/>
      <c r="E21" s="6" t="n">
        <f aca="false">C21/20</f>
        <v>10000</v>
      </c>
      <c r="G21" s="5" t="s">
        <v>4</v>
      </c>
      <c r="H21" s="6" t="n">
        <v>300000</v>
      </c>
      <c r="I21" s="7"/>
      <c r="J21" s="6" t="n">
        <f aca="false">H21/30</f>
        <v>10000</v>
      </c>
    </row>
    <row r="22" customFormat="false" ht="19.7" hidden="false" customHeight="false" outlineLevel="0" collapsed="false">
      <c r="B22" s="21" t="s">
        <v>22</v>
      </c>
      <c r="C22" s="6" t="n">
        <v>200000</v>
      </c>
      <c r="D22" s="7"/>
      <c r="E22" s="6" t="n">
        <f aca="false">C22/20</f>
        <v>10000</v>
      </c>
      <c r="G22" s="21" t="s">
        <v>22</v>
      </c>
      <c r="H22" s="6" t="n">
        <v>200000</v>
      </c>
      <c r="I22" s="7"/>
      <c r="J22" s="6" t="n">
        <f aca="false">H22/30</f>
        <v>6666.66666666667</v>
      </c>
    </row>
    <row r="23" customFormat="false" ht="19.7" hidden="false" customHeight="false" outlineLevel="0" collapsed="false">
      <c r="B23" s="5" t="s">
        <v>23</v>
      </c>
      <c r="C23" s="6" t="n">
        <v>36000</v>
      </c>
      <c r="D23" s="7"/>
      <c r="E23" s="6" t="n">
        <f aca="false">C23</f>
        <v>36000</v>
      </c>
      <c r="G23" s="5" t="s">
        <v>23</v>
      </c>
      <c r="H23" s="6" t="n">
        <v>36000</v>
      </c>
      <c r="I23" s="7"/>
      <c r="J23" s="6" t="n">
        <f aca="false">H23</f>
        <v>36000</v>
      </c>
    </row>
    <row r="24" customFormat="false" ht="19.7" hidden="false" customHeight="false" outlineLevel="0" collapsed="false">
      <c r="B24" s="5"/>
      <c r="C24" s="6" t="n">
        <v>0</v>
      </c>
      <c r="D24" s="7"/>
      <c r="E24" s="6" t="n">
        <f aca="false">C24</f>
        <v>0</v>
      </c>
      <c r="G24" s="5" t="s">
        <v>24</v>
      </c>
      <c r="H24" s="6" t="n">
        <v>100000</v>
      </c>
      <c r="I24" s="7"/>
      <c r="J24" s="6" t="n">
        <f aca="false">H24</f>
        <v>100000</v>
      </c>
    </row>
    <row r="25" customFormat="false" ht="19.7" hidden="false" customHeight="false" outlineLevel="0" collapsed="false">
      <c r="B25" s="5" t="s">
        <v>25</v>
      </c>
      <c r="C25" s="6" t="n">
        <v>14000</v>
      </c>
      <c r="D25" s="7"/>
      <c r="E25" s="6" t="n">
        <f aca="false">C25</f>
        <v>14000</v>
      </c>
      <c r="G25" s="5" t="s">
        <v>25</v>
      </c>
      <c r="H25" s="6" t="n">
        <v>14000</v>
      </c>
      <c r="I25" s="7"/>
      <c r="J25" s="6" t="n">
        <f aca="false">H25</f>
        <v>14000</v>
      </c>
    </row>
    <row r="26" customFormat="false" ht="19.7" hidden="false" customHeight="false" outlineLevel="0" collapsed="false">
      <c r="B26" s="5" t="s">
        <v>7</v>
      </c>
      <c r="C26" s="6" t="n">
        <v>30000</v>
      </c>
      <c r="D26" s="7"/>
      <c r="E26" s="6" t="n">
        <f aca="false">C26</f>
        <v>30000</v>
      </c>
      <c r="G26" s="5" t="s">
        <v>26</v>
      </c>
      <c r="H26" s="6" t="n">
        <v>20000</v>
      </c>
      <c r="I26" s="7"/>
      <c r="J26" s="6" t="n">
        <f aca="false">H26</f>
        <v>20000</v>
      </c>
    </row>
    <row r="27" customFormat="false" ht="19.7" hidden="false" customHeight="false" outlineLevel="0" collapsed="false">
      <c r="B27" s="4" t="s">
        <v>8</v>
      </c>
      <c r="C27" s="3"/>
      <c r="E27" s="10" t="n">
        <f aca="false">E28*20%</f>
        <v>26000</v>
      </c>
      <c r="G27" s="4" t="s">
        <v>8</v>
      </c>
      <c r="H27" s="3"/>
      <c r="J27" s="10" t="n">
        <f aca="false">J28*20%</f>
        <v>43000</v>
      </c>
    </row>
    <row r="28" customFormat="false" ht="19.7" hidden="false" customHeight="false" outlineLevel="0" collapsed="false">
      <c r="B28" s="4" t="s">
        <v>9</v>
      </c>
      <c r="C28" s="3"/>
      <c r="E28" s="11" t="n">
        <f aca="false">E20+E21+E24+E23+E25+E26+E22</f>
        <v>130000</v>
      </c>
      <c r="G28" s="4" t="s">
        <v>9</v>
      </c>
      <c r="H28" s="3"/>
      <c r="J28" s="11" t="n">
        <f aca="false">J20+J21+J24+J23+J25+J26+J22</f>
        <v>215000</v>
      </c>
    </row>
    <row r="29" customFormat="false" ht="19.7" hidden="false" customHeight="false" outlineLevel="0" collapsed="false">
      <c r="B29" s="4" t="s">
        <v>19</v>
      </c>
      <c r="C29" s="3"/>
      <c r="E29" s="12" t="n">
        <f aca="false">E28+E27</f>
        <v>156000</v>
      </c>
      <c r="G29" s="4" t="s">
        <v>19</v>
      </c>
      <c r="H29" s="3"/>
      <c r="J29" s="12" t="n">
        <f aca="false">J28+J27</f>
        <v>258000</v>
      </c>
    </row>
    <row r="30" customFormat="false" ht="19.7" hidden="false" customHeight="false" outlineLevel="0" collapsed="false">
      <c r="B30" s="4" t="s">
        <v>21</v>
      </c>
      <c r="C30" s="3"/>
      <c r="E30" s="12" t="n">
        <f aca="false">E29/3500</f>
        <v>44.5714285714286</v>
      </c>
      <c r="G30" s="4" t="s">
        <v>21</v>
      </c>
      <c r="H30" s="3"/>
      <c r="J30" s="12" t="n">
        <f aca="false">J29/3500</f>
        <v>73.7142857142857</v>
      </c>
    </row>
    <row r="34" customFormat="false" ht="19.7" hidden="false" customHeight="false" outlineLevel="0" collapsed="false">
      <c r="B34" s="2" t="s">
        <v>18</v>
      </c>
      <c r="C34" s="3" t="n">
        <v>70</v>
      </c>
      <c r="E34" s="3"/>
      <c r="G34" s="2" t="s">
        <v>18</v>
      </c>
      <c r="H34" s="3" t="n">
        <v>70</v>
      </c>
      <c r="J34" s="3"/>
    </row>
    <row r="35" customFormat="false" ht="19.7" hidden="false" customHeight="false" outlineLevel="0" collapsed="false">
      <c r="B35" s="4"/>
      <c r="C35" s="3"/>
      <c r="E35" s="4" t="s">
        <v>2</v>
      </c>
      <c r="G35" s="4"/>
      <c r="H35" s="3"/>
      <c r="J35" s="4" t="s">
        <v>2</v>
      </c>
    </row>
    <row r="36" customFormat="false" ht="19.7" hidden="false" customHeight="false" outlineLevel="0" collapsed="false">
      <c r="B36" s="5" t="s">
        <v>28</v>
      </c>
      <c r="C36" s="6" t="n">
        <v>300000</v>
      </c>
      <c r="D36" s="7"/>
      <c r="E36" s="6" t="n">
        <f aca="false">C36/20</f>
        <v>15000</v>
      </c>
      <c r="G36" s="5" t="s">
        <v>28</v>
      </c>
      <c r="H36" s="6" t="n">
        <v>0</v>
      </c>
      <c r="I36" s="7"/>
      <c r="J36" s="6" t="n">
        <f aca="false">H36/20</f>
        <v>0</v>
      </c>
    </row>
    <row r="37" customFormat="false" ht="19.7" hidden="false" customHeight="false" outlineLevel="0" collapsed="false">
      <c r="B37" s="5" t="s">
        <v>4</v>
      </c>
      <c r="C37" s="6" t="n">
        <v>200000</v>
      </c>
      <c r="D37" s="7"/>
      <c r="E37" s="6" t="n">
        <f aca="false">C37/20</f>
        <v>10000</v>
      </c>
      <c r="G37" s="5" t="s">
        <v>4</v>
      </c>
      <c r="H37" s="6" t="n">
        <v>100000</v>
      </c>
      <c r="I37" s="7"/>
      <c r="J37" s="6" t="n">
        <f aca="false">H37/20</f>
        <v>5000</v>
      </c>
    </row>
    <row r="38" customFormat="false" ht="19.7" hidden="false" customHeight="false" outlineLevel="0" collapsed="false">
      <c r="B38" s="21" t="s">
        <v>29</v>
      </c>
      <c r="C38" s="6" t="n">
        <v>20000</v>
      </c>
      <c r="D38" s="7"/>
      <c r="E38" s="6" t="n">
        <f aca="false">C38</f>
        <v>20000</v>
      </c>
      <c r="G38" s="21" t="s">
        <v>29</v>
      </c>
      <c r="H38" s="6" t="n">
        <v>0</v>
      </c>
      <c r="I38" s="7"/>
      <c r="J38" s="6" t="n">
        <f aca="false">H38</f>
        <v>0</v>
      </c>
    </row>
    <row r="39" customFormat="false" ht="19.7" hidden="false" customHeight="false" outlineLevel="0" collapsed="false">
      <c r="B39" s="5" t="s">
        <v>30</v>
      </c>
      <c r="C39" s="6" t="n">
        <v>150000</v>
      </c>
      <c r="D39" s="7"/>
      <c r="E39" s="6" t="n">
        <f aca="false">C39</f>
        <v>150000</v>
      </c>
      <c r="G39" s="5" t="s">
        <v>30</v>
      </c>
      <c r="H39" s="6" t="n">
        <v>150000</v>
      </c>
      <c r="I39" s="7"/>
      <c r="J39" s="6" t="n">
        <f aca="false">H39</f>
        <v>150000</v>
      </c>
    </row>
    <row r="40" customFormat="false" ht="19.7" hidden="false" customHeight="false" outlineLevel="0" collapsed="false">
      <c r="B40" s="5" t="s">
        <v>7</v>
      </c>
      <c r="C40" s="6" t="n">
        <v>0</v>
      </c>
      <c r="D40" s="7"/>
      <c r="E40" s="6" t="n">
        <f aca="false">C40</f>
        <v>0</v>
      </c>
      <c r="G40" s="5" t="s">
        <v>7</v>
      </c>
      <c r="H40" s="6" t="n">
        <v>0</v>
      </c>
      <c r="I40" s="7"/>
      <c r="J40" s="6" t="n">
        <f aca="false">H40</f>
        <v>0</v>
      </c>
    </row>
    <row r="41" customFormat="false" ht="19.7" hidden="false" customHeight="false" outlineLevel="0" collapsed="false">
      <c r="B41" s="4" t="s">
        <v>8</v>
      </c>
      <c r="C41" s="3"/>
      <c r="E41" s="10" t="n">
        <f aca="false">E42*20%</f>
        <v>39000</v>
      </c>
      <c r="G41" s="4" t="s">
        <v>8</v>
      </c>
      <c r="H41" s="3"/>
      <c r="J41" s="10" t="n">
        <f aca="false">J42*20%</f>
        <v>31000</v>
      </c>
    </row>
    <row r="42" customFormat="false" ht="19.7" hidden="false" customHeight="false" outlineLevel="0" collapsed="false">
      <c r="B42" s="4" t="s">
        <v>9</v>
      </c>
      <c r="C42" s="3"/>
      <c r="E42" s="11" t="n">
        <f aca="false">E36+E37+E39+E40+E38</f>
        <v>195000</v>
      </c>
      <c r="G42" s="4" t="s">
        <v>9</v>
      </c>
      <c r="H42" s="3"/>
      <c r="J42" s="11" t="n">
        <f aca="false">J36+J37+J39+J40+J38</f>
        <v>155000</v>
      </c>
    </row>
    <row r="43" customFormat="false" ht="19.7" hidden="false" customHeight="false" outlineLevel="0" collapsed="false">
      <c r="B43" s="4" t="s">
        <v>19</v>
      </c>
      <c r="C43" s="3"/>
      <c r="E43" s="12" t="n">
        <f aca="false">E42+E41</f>
        <v>234000</v>
      </c>
      <c r="G43" s="4" t="s">
        <v>19</v>
      </c>
      <c r="H43" s="3"/>
      <c r="J43" s="12" t="n">
        <f aca="false">J42+J41</f>
        <v>186000</v>
      </c>
    </row>
    <row r="44" customFormat="false" ht="19.7" hidden="false" customHeight="false" outlineLevel="0" collapsed="false">
      <c r="B44" s="4" t="s">
        <v>21</v>
      </c>
      <c r="C44" s="3"/>
      <c r="E44" s="12" t="n">
        <f aca="false">E43/3500</f>
        <v>66.8571428571429</v>
      </c>
      <c r="G44" s="4" t="s">
        <v>21</v>
      </c>
      <c r="H44" s="3"/>
      <c r="J44" s="12" t="n">
        <f aca="false">J43/3500</f>
        <v>53.1428571428571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E127"/>
  <sheetViews>
    <sheetView showFormulas="false" showGridLines="true" showRowColHeaders="true" showZeros="true" rightToLeft="false" tabSelected="false" showOutlineSymbols="true" defaultGridColor="true" view="normal" topLeftCell="A90" colorId="64" zoomScale="100" zoomScaleNormal="100" zoomScalePageLayoutView="100" workbookViewId="0">
      <selection pane="topLeft" activeCell="F68" activeCellId="0" sqref="F68"/>
    </sheetView>
  </sheetViews>
  <sheetFormatPr defaultColWidth="10.6015625" defaultRowHeight="14.25" customHeight="false" zeroHeight="false" outlineLevelRow="0" outlineLevelCol="0"/>
  <cols>
    <col collapsed="false" customWidth="true" hidden="false" outlineLevel="0" max="2" min="2" style="0" width="36.22"/>
    <col collapsed="false" customWidth="true" hidden="false" outlineLevel="0" max="3" min="3" style="0" width="15.78"/>
    <col collapsed="false" customWidth="true" hidden="false" outlineLevel="0" max="5" min="5" style="0" width="15.78"/>
    <col collapsed="false" customWidth="true" hidden="false" outlineLevel="0" max="7" min="7" style="0" width="36.22"/>
    <col collapsed="false" customWidth="true" hidden="false" outlineLevel="0" max="8" min="8" style="0" width="13.44"/>
    <col collapsed="false" customWidth="true" hidden="false" outlineLevel="0" max="10" min="10" style="0" width="13.44"/>
  </cols>
  <sheetData>
    <row r="3" customFormat="false" ht="19.7" hidden="false" customHeight="false" outlineLevel="0" collapsed="false">
      <c r="B3" s="13" t="s">
        <v>11</v>
      </c>
      <c r="C3" s="14" t="n">
        <v>25</v>
      </c>
      <c r="E3" s="3"/>
    </row>
    <row r="4" customFormat="false" ht="19.7" hidden="false" customHeight="false" outlineLevel="0" collapsed="false">
      <c r="B4" s="4"/>
      <c r="C4" s="3"/>
      <c r="E4" s="4" t="s">
        <v>2</v>
      </c>
    </row>
    <row r="5" customFormat="false" ht="19.7" hidden="false" customHeight="false" outlineLevel="0" collapsed="false">
      <c r="B5" s="5" t="s">
        <v>2</v>
      </c>
      <c r="C5" s="6" t="n">
        <v>600000</v>
      </c>
      <c r="E5" s="6" t="n">
        <f aca="false">C5/20</f>
        <v>30000</v>
      </c>
    </row>
    <row r="6" customFormat="false" ht="19.7" hidden="false" customHeight="false" outlineLevel="0" collapsed="false">
      <c r="B6" s="5" t="s">
        <v>7</v>
      </c>
      <c r="C6" s="6" t="n">
        <v>10000</v>
      </c>
      <c r="E6" s="6" t="n">
        <f aca="false">C6</f>
        <v>10000</v>
      </c>
    </row>
    <row r="7" customFormat="false" ht="19.7" hidden="false" customHeight="false" outlineLevel="0" collapsed="false">
      <c r="B7" s="5" t="s">
        <v>4</v>
      </c>
      <c r="C7" s="6" t="n">
        <v>300000</v>
      </c>
      <c r="E7" s="6" t="n">
        <f aca="false">C7/20</f>
        <v>15000</v>
      </c>
    </row>
    <row r="8" customFormat="false" ht="19.7" hidden="false" customHeight="false" outlineLevel="0" collapsed="false">
      <c r="B8" s="4" t="s">
        <v>15</v>
      </c>
      <c r="C8" s="3" t="n">
        <v>200000</v>
      </c>
      <c r="E8" s="10" t="n">
        <f aca="false">C8/20</f>
        <v>10000</v>
      </c>
    </row>
    <row r="9" customFormat="false" ht="19.7" hidden="false" customHeight="false" outlineLevel="0" collapsed="false">
      <c r="B9" s="4" t="s">
        <v>8</v>
      </c>
      <c r="C9" s="3"/>
      <c r="E9" s="10" t="n">
        <f aca="false">E10*20%</f>
        <v>13000</v>
      </c>
    </row>
    <row r="10" customFormat="false" ht="19.7" hidden="false" customHeight="false" outlineLevel="0" collapsed="false">
      <c r="B10" s="4" t="s">
        <v>9</v>
      </c>
      <c r="C10" s="3"/>
      <c r="E10" s="11" t="n">
        <f aca="false">E5+E6+E7+E8</f>
        <v>65000</v>
      </c>
    </row>
    <row r="11" customFormat="false" ht="19.7" hidden="false" customHeight="false" outlineLevel="0" collapsed="false">
      <c r="B11" s="4" t="s">
        <v>19</v>
      </c>
      <c r="C11" s="3"/>
      <c r="E11" s="12" t="n">
        <f aca="false">E10+E9</f>
        <v>78000</v>
      </c>
    </row>
    <row r="12" customFormat="false" ht="19.7" hidden="false" customHeight="false" outlineLevel="0" collapsed="false">
      <c r="B12" s="4" t="s">
        <v>21</v>
      </c>
      <c r="C12" s="3"/>
      <c r="E12" s="22" t="n">
        <f aca="false">E11/3200</f>
        <v>24.375</v>
      </c>
    </row>
    <row r="17" customFormat="false" ht="19.7" hidden="false" customHeight="false" outlineLevel="0" collapsed="false">
      <c r="B17" s="2" t="s">
        <v>14</v>
      </c>
      <c r="C17" s="3" t="n">
        <v>90</v>
      </c>
      <c r="E17" s="3"/>
    </row>
    <row r="18" customFormat="false" ht="19.7" hidden="false" customHeight="false" outlineLevel="0" collapsed="false">
      <c r="B18" s="4"/>
      <c r="C18" s="3"/>
      <c r="E18" s="4" t="s">
        <v>2</v>
      </c>
    </row>
    <row r="19" customFormat="false" ht="19.7" hidden="false" customHeight="false" outlineLevel="0" collapsed="false">
      <c r="B19" s="5" t="s">
        <v>2</v>
      </c>
      <c r="C19" s="6" t="n">
        <v>1000000</v>
      </c>
      <c r="D19" s="7"/>
      <c r="E19" s="6" t="n">
        <f aca="false">C19/20</f>
        <v>50000</v>
      </c>
    </row>
    <row r="20" customFormat="false" ht="19.7" hidden="false" customHeight="false" outlineLevel="0" collapsed="false">
      <c r="B20" s="5" t="s">
        <v>4</v>
      </c>
      <c r="C20" s="6" t="n">
        <v>500000</v>
      </c>
      <c r="D20" s="7"/>
      <c r="E20" s="6" t="n">
        <f aca="false">C20/20</f>
        <v>25000</v>
      </c>
    </row>
    <row r="21" customFormat="false" ht="19.7" hidden="false" customHeight="false" outlineLevel="0" collapsed="false">
      <c r="B21" s="21" t="s">
        <v>22</v>
      </c>
      <c r="C21" s="6" t="n">
        <v>200000</v>
      </c>
      <c r="D21" s="7"/>
      <c r="E21" s="6" t="n">
        <f aca="false">C21/20</f>
        <v>10000</v>
      </c>
    </row>
    <row r="22" customFormat="false" ht="19.7" hidden="false" customHeight="false" outlineLevel="0" collapsed="false">
      <c r="B22" s="5" t="s">
        <v>23</v>
      </c>
      <c r="C22" s="6" t="n">
        <v>40000</v>
      </c>
      <c r="D22" s="7"/>
      <c r="E22" s="6" t="n">
        <f aca="false">C22</f>
        <v>40000</v>
      </c>
    </row>
    <row r="23" customFormat="false" ht="19.7" hidden="false" customHeight="false" outlineLevel="0" collapsed="false">
      <c r="B23" s="5" t="s">
        <v>24</v>
      </c>
      <c r="C23" s="6" t="n">
        <v>100000</v>
      </c>
      <c r="D23" s="7"/>
      <c r="E23" s="6" t="n">
        <f aca="false">C23</f>
        <v>100000</v>
      </c>
    </row>
    <row r="24" customFormat="false" ht="19.7" hidden="false" customHeight="false" outlineLevel="0" collapsed="false">
      <c r="B24" s="5" t="s">
        <v>25</v>
      </c>
      <c r="C24" s="6" t="n">
        <v>20000</v>
      </c>
      <c r="D24" s="7"/>
      <c r="E24" s="6" t="n">
        <f aca="false">C24</f>
        <v>20000</v>
      </c>
    </row>
    <row r="25" customFormat="false" ht="19.7" hidden="false" customHeight="false" outlineLevel="0" collapsed="false">
      <c r="B25" s="5" t="s">
        <v>26</v>
      </c>
      <c r="C25" s="6" t="n">
        <v>30000</v>
      </c>
      <c r="D25" s="7"/>
      <c r="E25" s="6" t="n">
        <f aca="false">C25</f>
        <v>30000</v>
      </c>
    </row>
    <row r="26" customFormat="false" ht="19.7" hidden="false" customHeight="false" outlineLevel="0" collapsed="false">
      <c r="B26" s="4" t="s">
        <v>8</v>
      </c>
      <c r="C26" s="3"/>
      <c r="E26" s="10" t="n">
        <f aca="false">E27*20%</f>
        <v>55000</v>
      </c>
    </row>
    <row r="27" customFormat="false" ht="19.7" hidden="false" customHeight="false" outlineLevel="0" collapsed="false">
      <c r="B27" s="4" t="s">
        <v>9</v>
      </c>
      <c r="C27" s="3"/>
      <c r="E27" s="11" t="n">
        <f aca="false">E19+E20+E23+E22+E24+E25+E21</f>
        <v>275000</v>
      </c>
    </row>
    <row r="28" customFormat="false" ht="19.7" hidden="false" customHeight="false" outlineLevel="0" collapsed="false">
      <c r="B28" s="4" t="s">
        <v>19</v>
      </c>
      <c r="C28" s="3"/>
      <c r="E28" s="12" t="n">
        <f aca="false">E27+E26</f>
        <v>330000</v>
      </c>
    </row>
    <row r="29" customFormat="false" ht="19.7" hidden="false" customHeight="false" outlineLevel="0" collapsed="false">
      <c r="B29" s="4" t="s">
        <v>21</v>
      </c>
      <c r="C29" s="3"/>
      <c r="E29" s="12" t="n">
        <f aca="false">E28/3200</f>
        <v>103.125</v>
      </c>
    </row>
    <row r="33" customFormat="false" ht="19.7" hidden="false" customHeight="false" outlineLevel="0" collapsed="false">
      <c r="B33" s="2" t="s">
        <v>18</v>
      </c>
      <c r="C33" s="3" t="n">
        <v>70</v>
      </c>
      <c r="E33" s="3"/>
    </row>
    <row r="34" customFormat="false" ht="19.7" hidden="false" customHeight="false" outlineLevel="0" collapsed="false">
      <c r="B34" s="4"/>
      <c r="C34" s="3"/>
      <c r="E34" s="4" t="s">
        <v>2</v>
      </c>
    </row>
    <row r="35" customFormat="false" ht="19.7" hidden="false" customHeight="false" outlineLevel="0" collapsed="false">
      <c r="B35" s="5" t="s">
        <v>28</v>
      </c>
      <c r="C35" s="6" t="n">
        <v>600000</v>
      </c>
      <c r="D35" s="7"/>
      <c r="E35" s="6" t="n">
        <f aca="false">C35/20</f>
        <v>30000</v>
      </c>
    </row>
    <row r="36" customFormat="false" ht="19.7" hidden="false" customHeight="false" outlineLevel="0" collapsed="false">
      <c r="B36" s="5" t="s">
        <v>4</v>
      </c>
      <c r="C36" s="6" t="n">
        <v>200000</v>
      </c>
      <c r="D36" s="7"/>
      <c r="E36" s="6" t="n">
        <f aca="false">C36/20</f>
        <v>10000</v>
      </c>
    </row>
    <row r="37" customFormat="false" ht="19.7" hidden="false" customHeight="false" outlineLevel="0" collapsed="false">
      <c r="B37" s="21" t="s">
        <v>29</v>
      </c>
      <c r="C37" s="6" t="n">
        <v>20000</v>
      </c>
      <c r="D37" s="7"/>
      <c r="E37" s="6" t="n">
        <f aca="false">C37</f>
        <v>20000</v>
      </c>
    </row>
    <row r="38" customFormat="false" ht="19.7" hidden="false" customHeight="false" outlineLevel="0" collapsed="false">
      <c r="B38" s="5" t="s">
        <v>30</v>
      </c>
      <c r="C38" s="6" t="n">
        <v>150000</v>
      </c>
      <c r="D38" s="7"/>
      <c r="E38" s="6" t="n">
        <f aca="false">C38</f>
        <v>150000</v>
      </c>
    </row>
    <row r="39" customFormat="false" ht="19.7" hidden="false" customHeight="false" outlineLevel="0" collapsed="false">
      <c r="B39" s="5" t="s">
        <v>7</v>
      </c>
      <c r="C39" s="6" t="n">
        <v>0</v>
      </c>
      <c r="D39" s="7"/>
      <c r="E39" s="6" t="n">
        <f aca="false">C39</f>
        <v>0</v>
      </c>
    </row>
    <row r="40" customFormat="false" ht="19.7" hidden="false" customHeight="false" outlineLevel="0" collapsed="false">
      <c r="B40" s="4" t="s">
        <v>8</v>
      </c>
      <c r="C40" s="3"/>
      <c r="E40" s="10" t="n">
        <f aca="false">E41*20%</f>
        <v>42000</v>
      </c>
    </row>
    <row r="41" customFormat="false" ht="19.7" hidden="false" customHeight="false" outlineLevel="0" collapsed="false">
      <c r="B41" s="4" t="s">
        <v>9</v>
      </c>
      <c r="C41" s="3"/>
      <c r="E41" s="11" t="n">
        <f aca="false">E35+E36+E38+E39+E37</f>
        <v>210000</v>
      </c>
    </row>
    <row r="42" customFormat="false" ht="19.7" hidden="false" customHeight="false" outlineLevel="0" collapsed="false">
      <c r="B42" s="4" t="s">
        <v>19</v>
      </c>
      <c r="C42" s="3"/>
      <c r="E42" s="12" t="n">
        <f aca="false">E41+E40</f>
        <v>252000</v>
      </c>
    </row>
    <row r="43" customFormat="false" ht="19.7" hidden="false" customHeight="false" outlineLevel="0" collapsed="false">
      <c r="B43" s="4" t="s">
        <v>21</v>
      </c>
      <c r="C43" s="3"/>
      <c r="E43" s="12" t="n">
        <f aca="false">E42/3200</f>
        <v>78.75</v>
      </c>
    </row>
    <row r="49" customFormat="false" ht="19.7" hidden="false" customHeight="false" outlineLevel="0" collapsed="false">
      <c r="B49" s="2" t="s">
        <v>40</v>
      </c>
      <c r="C49" s="3" t="n">
        <v>100</v>
      </c>
      <c r="E49" s="3"/>
    </row>
    <row r="50" customFormat="false" ht="19.7" hidden="false" customHeight="false" outlineLevel="0" collapsed="false">
      <c r="B50" s="4"/>
      <c r="C50" s="3"/>
      <c r="E50" s="4" t="s">
        <v>2</v>
      </c>
    </row>
    <row r="51" customFormat="false" ht="19.7" hidden="false" customHeight="false" outlineLevel="0" collapsed="false">
      <c r="B51" s="5" t="s">
        <v>32</v>
      </c>
      <c r="C51" s="6" t="n">
        <v>2800000</v>
      </c>
      <c r="D51" s="7"/>
      <c r="E51" s="6" t="n">
        <f aca="false">C51/20</f>
        <v>140000</v>
      </c>
    </row>
    <row r="52" customFormat="false" ht="19.7" hidden="false" customHeight="false" outlineLevel="0" collapsed="false">
      <c r="B52" s="5" t="s">
        <v>4</v>
      </c>
      <c r="C52" s="6" t="n">
        <v>500000</v>
      </c>
      <c r="D52" s="7"/>
      <c r="E52" s="6" t="n">
        <f aca="false">C52/20</f>
        <v>25000</v>
      </c>
    </row>
    <row r="53" customFormat="false" ht="19.7" hidden="false" customHeight="false" outlineLevel="0" collapsed="false">
      <c r="B53" s="21" t="s">
        <v>41</v>
      </c>
      <c r="C53" s="6" t="n">
        <v>100000</v>
      </c>
      <c r="D53" s="7"/>
      <c r="E53" s="6" t="n">
        <f aca="false">C53</f>
        <v>100000</v>
      </c>
    </row>
    <row r="54" customFormat="false" ht="19.7" hidden="false" customHeight="false" outlineLevel="0" collapsed="false">
      <c r="B54" s="5" t="s">
        <v>42</v>
      </c>
      <c r="C54" s="6" t="n">
        <v>50000</v>
      </c>
      <c r="D54" s="7"/>
      <c r="E54" s="6" t="n">
        <f aca="false">C54/20</f>
        <v>2500</v>
      </c>
    </row>
    <row r="55" customFormat="false" ht="19.7" hidden="false" customHeight="false" outlineLevel="0" collapsed="false">
      <c r="B55" s="5" t="s">
        <v>7</v>
      </c>
      <c r="C55" s="6" t="n">
        <v>30000</v>
      </c>
      <c r="D55" s="7"/>
      <c r="E55" s="6" t="n">
        <f aca="false">C55</f>
        <v>30000</v>
      </c>
    </row>
    <row r="56" customFormat="false" ht="19.7" hidden="false" customHeight="false" outlineLevel="0" collapsed="false">
      <c r="B56" s="4" t="s">
        <v>8</v>
      </c>
      <c r="C56" s="3"/>
      <c r="E56" s="10" t="n">
        <f aca="false">E57*15%</f>
        <v>44625</v>
      </c>
    </row>
    <row r="57" customFormat="false" ht="19.7" hidden="false" customHeight="false" outlineLevel="0" collapsed="false">
      <c r="B57" s="4" t="s">
        <v>9</v>
      </c>
      <c r="C57" s="3"/>
      <c r="E57" s="11" t="n">
        <f aca="false">E51+E52+E54+E55+E53</f>
        <v>297500</v>
      </c>
    </row>
    <row r="58" customFormat="false" ht="19.7" hidden="false" customHeight="false" outlineLevel="0" collapsed="false">
      <c r="B58" s="4" t="s">
        <v>19</v>
      </c>
      <c r="C58" s="3"/>
      <c r="E58" s="12" t="n">
        <f aca="false">E57+E56</f>
        <v>342125</v>
      </c>
    </row>
    <row r="59" customFormat="false" ht="19.7" hidden="false" customHeight="false" outlineLevel="0" collapsed="false">
      <c r="B59" s="4" t="s">
        <v>21</v>
      </c>
      <c r="C59" s="3"/>
      <c r="E59" s="12" t="n">
        <f aca="false">E58/3200</f>
        <v>106.9140625</v>
      </c>
    </row>
    <row r="63" customFormat="false" ht="19.7" hidden="false" customHeight="false" outlineLevel="0" collapsed="false">
      <c r="B63" s="2" t="s">
        <v>27</v>
      </c>
      <c r="C63" s="3" t="n">
        <v>110</v>
      </c>
      <c r="E63" s="3"/>
    </row>
    <row r="64" customFormat="false" ht="19.7" hidden="false" customHeight="false" outlineLevel="0" collapsed="false">
      <c r="B64" s="4"/>
      <c r="C64" s="3"/>
      <c r="E64" s="4" t="s">
        <v>2</v>
      </c>
    </row>
    <row r="65" customFormat="false" ht="19.7" hidden="false" customHeight="false" outlineLevel="0" collapsed="false">
      <c r="B65" s="5" t="s">
        <v>28</v>
      </c>
      <c r="C65" s="6" t="n">
        <v>300000</v>
      </c>
      <c r="D65" s="7"/>
      <c r="E65" s="6" t="n">
        <f aca="false">C65/20</f>
        <v>15000</v>
      </c>
    </row>
    <row r="66" customFormat="false" ht="19.7" hidden="false" customHeight="false" outlineLevel="0" collapsed="false">
      <c r="B66" s="5" t="s">
        <v>4</v>
      </c>
      <c r="C66" s="6" t="n">
        <v>300000</v>
      </c>
      <c r="D66" s="7"/>
      <c r="E66" s="6" t="n">
        <f aca="false">C66/20</f>
        <v>15000</v>
      </c>
    </row>
    <row r="67" customFormat="false" ht="19.7" hidden="false" customHeight="false" outlineLevel="0" collapsed="false">
      <c r="B67" s="21" t="s">
        <v>29</v>
      </c>
      <c r="C67" s="6" t="n">
        <v>0</v>
      </c>
      <c r="D67" s="7"/>
      <c r="E67" s="6" t="n">
        <f aca="false">C67</f>
        <v>0</v>
      </c>
    </row>
    <row r="68" customFormat="false" ht="19.7" hidden="false" customHeight="false" outlineLevel="0" collapsed="false">
      <c r="B68" s="5" t="s">
        <v>43</v>
      </c>
      <c r="C68" s="6" t="n">
        <v>850000</v>
      </c>
      <c r="D68" s="7"/>
      <c r="E68" s="6" t="n">
        <f aca="false">C68</f>
        <v>850000</v>
      </c>
    </row>
    <row r="69" customFormat="false" ht="19.7" hidden="false" customHeight="false" outlineLevel="0" collapsed="false">
      <c r="B69" s="5" t="s">
        <v>7</v>
      </c>
      <c r="C69" s="6" t="n">
        <v>0</v>
      </c>
      <c r="D69" s="7"/>
      <c r="E69" s="6" t="n">
        <f aca="false">C69</f>
        <v>0</v>
      </c>
    </row>
    <row r="70" customFormat="false" ht="19.7" hidden="false" customHeight="false" outlineLevel="0" collapsed="false">
      <c r="B70" s="4" t="s">
        <v>8</v>
      </c>
      <c r="C70" s="3"/>
      <c r="E70" s="10" t="n">
        <f aca="false">E71*20%</f>
        <v>176000</v>
      </c>
    </row>
    <row r="71" customFormat="false" ht="19.7" hidden="false" customHeight="false" outlineLevel="0" collapsed="false">
      <c r="B71" s="4" t="s">
        <v>9</v>
      </c>
      <c r="C71" s="3"/>
      <c r="E71" s="11" t="n">
        <f aca="false">E65+E66+E68+E69+E67</f>
        <v>880000</v>
      </c>
    </row>
    <row r="72" customFormat="false" ht="19.7" hidden="false" customHeight="false" outlineLevel="0" collapsed="false">
      <c r="B72" s="4" t="s">
        <v>19</v>
      </c>
      <c r="C72" s="3"/>
      <c r="E72" s="12" t="n">
        <f aca="false">E71+E70</f>
        <v>1056000</v>
      </c>
    </row>
    <row r="73" customFormat="false" ht="19.7" hidden="false" customHeight="false" outlineLevel="0" collapsed="false">
      <c r="B73" s="4" t="s">
        <v>21</v>
      </c>
      <c r="C73" s="3"/>
      <c r="E73" s="12" t="n">
        <f aca="false">E72/3200</f>
        <v>330</v>
      </c>
    </row>
    <row r="76" customFormat="false" ht="19.7" hidden="false" customHeight="false" outlineLevel="0" collapsed="false">
      <c r="B76" s="2" t="s">
        <v>27</v>
      </c>
      <c r="C76" s="3" t="n">
        <v>110</v>
      </c>
      <c r="E76" s="3"/>
    </row>
    <row r="77" customFormat="false" ht="19.7" hidden="false" customHeight="false" outlineLevel="0" collapsed="false">
      <c r="B77" s="4"/>
      <c r="C77" s="3"/>
      <c r="E77" s="4" t="s">
        <v>2</v>
      </c>
    </row>
    <row r="78" customFormat="false" ht="19.7" hidden="false" customHeight="false" outlineLevel="0" collapsed="false">
      <c r="B78" s="5" t="s">
        <v>28</v>
      </c>
      <c r="C78" s="6" t="n">
        <v>300000</v>
      </c>
      <c r="D78" s="7"/>
      <c r="E78" s="6" t="n">
        <f aca="false">C78/20</f>
        <v>15000</v>
      </c>
    </row>
    <row r="79" customFormat="false" ht="19.7" hidden="false" customHeight="false" outlineLevel="0" collapsed="false">
      <c r="B79" s="5" t="s">
        <v>4</v>
      </c>
      <c r="C79" s="6" t="n">
        <v>300000</v>
      </c>
      <c r="D79" s="7"/>
      <c r="E79" s="6" t="n">
        <f aca="false">C79/20</f>
        <v>15000</v>
      </c>
    </row>
    <row r="80" customFormat="false" ht="19.7" hidden="false" customHeight="false" outlineLevel="0" collapsed="false">
      <c r="B80" s="21" t="s">
        <v>29</v>
      </c>
      <c r="C80" s="6" t="n">
        <v>0</v>
      </c>
      <c r="D80" s="7"/>
      <c r="E80" s="6" t="n">
        <f aca="false">C80</f>
        <v>0</v>
      </c>
    </row>
    <row r="81" customFormat="false" ht="19.7" hidden="false" customHeight="false" outlineLevel="0" collapsed="false">
      <c r="B81" s="5" t="s">
        <v>44</v>
      </c>
      <c r="C81" s="6" t="n">
        <v>460000</v>
      </c>
      <c r="D81" s="7"/>
      <c r="E81" s="6" t="n">
        <f aca="false">C81</f>
        <v>460000</v>
      </c>
    </row>
    <row r="82" customFormat="false" ht="19.7" hidden="false" customHeight="false" outlineLevel="0" collapsed="false">
      <c r="B82" s="5" t="s">
        <v>7</v>
      </c>
      <c r="C82" s="6" t="n">
        <v>0</v>
      </c>
      <c r="D82" s="7"/>
      <c r="E82" s="6" t="n">
        <f aca="false">C82</f>
        <v>0</v>
      </c>
    </row>
    <row r="83" customFormat="false" ht="19.7" hidden="false" customHeight="false" outlineLevel="0" collapsed="false">
      <c r="B83" s="4" t="s">
        <v>8</v>
      </c>
      <c r="C83" s="3"/>
      <c r="E83" s="10" t="n">
        <f aca="false">E84*20%</f>
        <v>98000</v>
      </c>
    </row>
    <row r="84" customFormat="false" ht="19.7" hidden="false" customHeight="false" outlineLevel="0" collapsed="false">
      <c r="B84" s="4" t="s">
        <v>9</v>
      </c>
      <c r="C84" s="3"/>
      <c r="E84" s="11" t="n">
        <f aca="false">E78+E79+E81+E82+E80</f>
        <v>490000</v>
      </c>
    </row>
    <row r="85" customFormat="false" ht="19.7" hidden="false" customHeight="false" outlineLevel="0" collapsed="false">
      <c r="B85" s="4" t="s">
        <v>19</v>
      </c>
      <c r="C85" s="3"/>
      <c r="E85" s="12" t="n">
        <f aca="false">E84+E83</f>
        <v>588000</v>
      </c>
    </row>
    <row r="86" customFormat="false" ht="19.7" hidden="false" customHeight="false" outlineLevel="0" collapsed="false">
      <c r="B86" s="4" t="s">
        <v>21</v>
      </c>
      <c r="C86" s="3"/>
      <c r="E86" s="12" t="n">
        <f aca="false">E85/3200</f>
        <v>183.75</v>
      </c>
    </row>
    <row r="91" customFormat="false" ht="19.7" hidden="false" customHeight="false" outlineLevel="0" collapsed="false">
      <c r="B91" s="2" t="s">
        <v>45</v>
      </c>
      <c r="C91" s="3" t="n">
        <v>110</v>
      </c>
      <c r="E91" s="3"/>
    </row>
    <row r="92" customFormat="false" ht="19.7" hidden="false" customHeight="false" outlineLevel="0" collapsed="false">
      <c r="B92" s="4"/>
      <c r="C92" s="3"/>
      <c r="E92" s="4" t="s">
        <v>2</v>
      </c>
    </row>
    <row r="93" customFormat="false" ht="19.7" hidden="false" customHeight="false" outlineLevel="0" collapsed="false">
      <c r="B93" s="5" t="s">
        <v>32</v>
      </c>
      <c r="C93" s="6" t="n">
        <v>1000000</v>
      </c>
      <c r="D93" s="7"/>
      <c r="E93" s="6" t="n">
        <f aca="false">C93/20</f>
        <v>50000</v>
      </c>
    </row>
    <row r="94" customFormat="false" ht="19.7" hidden="false" customHeight="false" outlineLevel="0" collapsed="false">
      <c r="B94" s="5" t="s">
        <v>4</v>
      </c>
      <c r="C94" s="6" t="n">
        <v>500000</v>
      </c>
      <c r="D94" s="7"/>
      <c r="E94" s="6" t="n">
        <f aca="false">C94/20</f>
        <v>25000</v>
      </c>
    </row>
    <row r="95" customFormat="false" ht="19.7" hidden="false" customHeight="false" outlineLevel="0" collapsed="false">
      <c r="B95" s="21" t="s">
        <v>46</v>
      </c>
      <c r="C95" s="6" t="n">
        <v>50000</v>
      </c>
      <c r="D95" s="7"/>
      <c r="E95" s="6" t="n">
        <f aca="false">C95</f>
        <v>50000</v>
      </c>
    </row>
    <row r="96" customFormat="false" ht="19.7" hidden="false" customHeight="false" outlineLevel="0" collapsed="false">
      <c r="B96" s="5" t="s">
        <v>6</v>
      </c>
      <c r="C96" s="6" t="n">
        <v>120000</v>
      </c>
      <c r="D96" s="7"/>
      <c r="E96" s="6" t="n">
        <f aca="false">C96</f>
        <v>120000</v>
      </c>
    </row>
    <row r="97" customFormat="false" ht="19.7" hidden="false" customHeight="false" outlineLevel="0" collapsed="false">
      <c r="B97" s="5" t="s">
        <v>7</v>
      </c>
      <c r="C97" s="6" t="n">
        <v>30000</v>
      </c>
      <c r="D97" s="7"/>
      <c r="E97" s="6" t="n">
        <f aca="false">C97</f>
        <v>30000</v>
      </c>
    </row>
    <row r="98" customFormat="false" ht="19.7" hidden="false" customHeight="false" outlineLevel="0" collapsed="false">
      <c r="B98" s="4" t="s">
        <v>8</v>
      </c>
      <c r="C98" s="3"/>
      <c r="E98" s="10" t="n">
        <f aca="false">E99*20%</f>
        <v>55000</v>
      </c>
    </row>
    <row r="99" customFormat="false" ht="19.7" hidden="false" customHeight="false" outlineLevel="0" collapsed="false">
      <c r="B99" s="4" t="s">
        <v>9</v>
      </c>
      <c r="C99" s="3"/>
      <c r="E99" s="11" t="n">
        <f aca="false">E93+E94+E96+E97+E95</f>
        <v>275000</v>
      </c>
    </row>
    <row r="100" customFormat="false" ht="19.7" hidden="false" customHeight="false" outlineLevel="0" collapsed="false">
      <c r="B100" s="4" t="s">
        <v>19</v>
      </c>
      <c r="C100" s="3"/>
      <c r="E100" s="12" t="n">
        <f aca="false">E99+E98</f>
        <v>330000</v>
      </c>
    </row>
    <row r="101" customFormat="false" ht="19.7" hidden="false" customHeight="false" outlineLevel="0" collapsed="false">
      <c r="B101" s="4" t="s">
        <v>21</v>
      </c>
      <c r="C101" s="3"/>
      <c r="E101" s="12" t="n">
        <f aca="false">E100/3200</f>
        <v>103.125</v>
      </c>
    </row>
    <row r="104" customFormat="false" ht="19.7" hidden="false" customHeight="false" outlineLevel="0" collapsed="false">
      <c r="B104" s="2" t="s">
        <v>47</v>
      </c>
      <c r="C104" s="3" t="n">
        <v>110</v>
      </c>
      <c r="E104" s="3"/>
    </row>
    <row r="105" customFormat="false" ht="19.7" hidden="false" customHeight="false" outlineLevel="0" collapsed="false">
      <c r="B105" s="4"/>
      <c r="C105" s="3"/>
      <c r="E105" s="4" t="s">
        <v>2</v>
      </c>
    </row>
    <row r="106" customFormat="false" ht="19.7" hidden="false" customHeight="false" outlineLevel="0" collapsed="false">
      <c r="B106" s="5" t="s">
        <v>32</v>
      </c>
      <c r="C106" s="6" t="n">
        <v>1000000</v>
      </c>
      <c r="D106" s="7"/>
      <c r="E106" s="6" t="n">
        <f aca="false">C106/20</f>
        <v>50000</v>
      </c>
    </row>
    <row r="107" customFormat="false" ht="19.7" hidden="false" customHeight="false" outlineLevel="0" collapsed="false">
      <c r="B107" s="5" t="s">
        <v>4</v>
      </c>
      <c r="C107" s="6" t="n">
        <v>500000</v>
      </c>
      <c r="D107" s="7"/>
      <c r="E107" s="6" t="n">
        <f aca="false">C107/20</f>
        <v>25000</v>
      </c>
    </row>
    <row r="108" customFormat="false" ht="19.7" hidden="false" customHeight="false" outlineLevel="0" collapsed="false">
      <c r="B108" s="21" t="s">
        <v>48</v>
      </c>
      <c r="C108" s="6" t="n">
        <v>30000</v>
      </c>
      <c r="D108" s="7"/>
      <c r="E108" s="6" t="n">
        <f aca="false">C108</f>
        <v>30000</v>
      </c>
    </row>
    <row r="109" customFormat="false" ht="19.7" hidden="false" customHeight="false" outlineLevel="0" collapsed="false">
      <c r="B109" s="5" t="s">
        <v>6</v>
      </c>
      <c r="C109" s="6" t="n">
        <v>60000</v>
      </c>
      <c r="D109" s="7"/>
      <c r="E109" s="6" t="n">
        <f aca="false">C109</f>
        <v>60000</v>
      </c>
    </row>
    <row r="110" customFormat="false" ht="19.7" hidden="false" customHeight="false" outlineLevel="0" collapsed="false">
      <c r="B110" s="5" t="s">
        <v>7</v>
      </c>
      <c r="C110" s="6" t="n">
        <v>30000</v>
      </c>
      <c r="D110" s="7"/>
      <c r="E110" s="6" t="n">
        <f aca="false">C110</f>
        <v>30000</v>
      </c>
    </row>
    <row r="111" customFormat="false" ht="19.7" hidden="false" customHeight="false" outlineLevel="0" collapsed="false">
      <c r="B111" s="4" t="s">
        <v>8</v>
      </c>
      <c r="C111" s="3"/>
      <c r="E111" s="10" t="n">
        <f aca="false">E112*20%</f>
        <v>39000</v>
      </c>
    </row>
    <row r="112" customFormat="false" ht="19.7" hidden="false" customHeight="false" outlineLevel="0" collapsed="false">
      <c r="B112" s="4" t="s">
        <v>9</v>
      </c>
      <c r="C112" s="3"/>
      <c r="E112" s="11" t="n">
        <f aca="false">E106+E107+E109+E110+E108</f>
        <v>195000</v>
      </c>
    </row>
    <row r="113" customFormat="false" ht="19.7" hidden="false" customHeight="false" outlineLevel="0" collapsed="false">
      <c r="B113" s="4" t="s">
        <v>19</v>
      </c>
      <c r="C113" s="3"/>
      <c r="E113" s="12" t="n">
        <f aca="false">E112+E111</f>
        <v>234000</v>
      </c>
    </row>
    <row r="114" customFormat="false" ht="19.7" hidden="false" customHeight="false" outlineLevel="0" collapsed="false">
      <c r="B114" s="4" t="s">
        <v>21</v>
      </c>
      <c r="C114" s="3"/>
      <c r="E114" s="12" t="n">
        <f aca="false">E113/3200</f>
        <v>73.125</v>
      </c>
    </row>
    <row r="118" customFormat="false" ht="19.7" hidden="false" customHeight="false" outlineLevel="0" collapsed="false">
      <c r="B118" s="15" t="s">
        <v>12</v>
      </c>
      <c r="C118" s="15"/>
      <c r="D118" s="34"/>
    </row>
    <row r="119" customFormat="false" ht="19.7" hidden="false" customHeight="false" outlineLevel="0" collapsed="false">
      <c r="B119" s="16" t="s">
        <v>13</v>
      </c>
      <c r="C119" s="35" t="n">
        <v>25</v>
      </c>
      <c r="D119" s="36"/>
    </row>
    <row r="120" customFormat="false" ht="19.7" hidden="false" customHeight="false" outlineLevel="0" collapsed="false">
      <c r="B120" s="18" t="s">
        <v>14</v>
      </c>
      <c r="C120" s="9" t="n">
        <v>105</v>
      </c>
      <c r="D120" s="36"/>
    </row>
    <row r="121" customFormat="false" ht="19.7" hidden="false" customHeight="false" outlineLevel="0" collapsed="false">
      <c r="B121" s="19" t="s">
        <v>49</v>
      </c>
      <c r="C121" s="9" t="n">
        <v>330</v>
      </c>
      <c r="D121" s="36"/>
    </row>
    <row r="122" customFormat="false" ht="19.7" hidden="false" customHeight="false" outlineLevel="0" collapsed="false">
      <c r="B122" s="19" t="s">
        <v>50</v>
      </c>
      <c r="C122" s="9" t="n">
        <v>185</v>
      </c>
      <c r="D122" s="37"/>
    </row>
    <row r="123" customFormat="false" ht="19.7" hidden="false" customHeight="false" outlineLevel="0" collapsed="false">
      <c r="B123" s="19" t="s">
        <v>51</v>
      </c>
      <c r="C123" s="9" t="n">
        <v>105</v>
      </c>
      <c r="D123" s="37"/>
    </row>
    <row r="124" customFormat="false" ht="19.7" hidden="false" customHeight="false" outlineLevel="0" collapsed="false">
      <c r="B124" s="19" t="s">
        <v>52</v>
      </c>
      <c r="C124" s="9" t="n">
        <v>110</v>
      </c>
      <c r="D124" s="37"/>
    </row>
    <row r="125" customFormat="false" ht="19.7" hidden="false" customHeight="false" outlineLevel="0" collapsed="false">
      <c r="B125" s="19" t="s">
        <v>53</v>
      </c>
      <c r="C125" s="9" t="n">
        <v>75</v>
      </c>
      <c r="D125" s="37"/>
    </row>
    <row r="126" customFormat="false" ht="19.7" hidden="false" customHeight="false" outlineLevel="0" collapsed="false">
      <c r="B126" s="21" t="s">
        <v>18</v>
      </c>
      <c r="C126" s="9" t="n">
        <v>80</v>
      </c>
      <c r="D126" s="36"/>
    </row>
    <row r="127" customFormat="false" ht="19.7" hidden="false" customHeight="false" outlineLevel="0" collapsed="false">
      <c r="B127" s="21" t="s">
        <v>20</v>
      </c>
      <c r="C127" s="9"/>
      <c r="D127" s="36"/>
    </row>
  </sheetData>
  <mergeCells count="1">
    <mergeCell ref="B118:C1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H43"/>
  <sheetViews>
    <sheetView showFormulas="false" showGridLines="true" showRowColHeaders="true" showZeros="true" rightToLeft="false" tabSelected="false" showOutlineSymbols="true" defaultGridColor="true" view="normal" topLeftCell="A38" colorId="64" zoomScale="100" zoomScaleNormal="100" zoomScalePageLayoutView="100" workbookViewId="0">
      <selection pane="topLeft" activeCell="E39" activeCellId="0" sqref="E39"/>
    </sheetView>
  </sheetViews>
  <sheetFormatPr defaultColWidth="10.6015625" defaultRowHeight="14.25" customHeight="false" zeroHeight="false" outlineLevelRow="0" outlineLevelCol="0"/>
  <cols>
    <col collapsed="false" customWidth="true" hidden="false" outlineLevel="0" max="3" min="3" style="0" width="17.55"/>
    <col collapsed="false" customWidth="true" hidden="false" outlineLevel="0" max="4" min="4" style="0" width="21.78"/>
    <col collapsed="false" customWidth="true" hidden="false" outlineLevel="0" max="5" min="5" style="0" width="64.22"/>
  </cols>
  <sheetData>
    <row r="4" customFormat="false" ht="17.35" hidden="false" customHeight="false" outlineLevel="0" collapsed="false">
      <c r="C4" s="38" t="s">
        <v>54</v>
      </c>
      <c r="D4" s="39" t="s">
        <v>55</v>
      </c>
      <c r="E4" s="40" t="s">
        <v>56</v>
      </c>
      <c r="F4" s="41"/>
    </row>
    <row r="5" customFormat="false" ht="14.25" hidden="false" customHeight="false" outlineLevel="0" collapsed="false">
      <c r="C5" s="42" t="n">
        <v>45938</v>
      </c>
      <c r="D5" s="43" t="s">
        <v>57</v>
      </c>
      <c r="E5" s="44" t="s">
        <v>58</v>
      </c>
      <c r="F5" s="41" t="s">
        <v>59</v>
      </c>
    </row>
    <row r="6" customFormat="false" ht="26.5" hidden="false" customHeight="false" outlineLevel="0" collapsed="false">
      <c r="C6" s="45" t="n">
        <v>45938</v>
      </c>
      <c r="D6" s="46" t="s">
        <v>60</v>
      </c>
      <c r="E6" s="47" t="s">
        <v>61</v>
      </c>
      <c r="F6" s="41"/>
    </row>
    <row r="7" customFormat="false" ht="102.4" hidden="false" customHeight="false" outlineLevel="0" collapsed="false">
      <c r="C7" s="45" t="n">
        <v>45939</v>
      </c>
      <c r="D7" s="46" t="s">
        <v>62</v>
      </c>
      <c r="E7" s="47" t="s">
        <v>63</v>
      </c>
      <c r="F7" s="41" t="s">
        <v>64</v>
      </c>
    </row>
    <row r="8" customFormat="false" ht="89.75" hidden="false" customHeight="false" outlineLevel="0" collapsed="false">
      <c r="C8" s="45" t="n">
        <v>45940</v>
      </c>
      <c r="D8" s="46" t="s">
        <v>27</v>
      </c>
      <c r="E8" s="47" t="s">
        <v>65</v>
      </c>
      <c r="F8" s="41"/>
    </row>
    <row r="9" customFormat="false" ht="14.25" hidden="false" customHeight="false" outlineLevel="0" collapsed="false">
      <c r="C9" s="48" t="n">
        <v>45941</v>
      </c>
      <c r="D9" s="49" t="s">
        <v>66</v>
      </c>
      <c r="E9" s="50" t="s">
        <v>67</v>
      </c>
      <c r="F9" s="41" t="s">
        <v>59</v>
      </c>
    </row>
    <row r="11" customFormat="false" ht="14.25" hidden="false" customHeight="false" outlineLevel="0" collapsed="false">
      <c r="H11" s="0" t="n">
        <f aca="false">40000/3700</f>
        <v>10.8108108108108</v>
      </c>
    </row>
    <row r="13" customFormat="false" ht="14.25" hidden="false" customHeight="false" outlineLevel="0" collapsed="false">
      <c r="F13" s="0" t="n">
        <f aca="false">160000+29000</f>
        <v>189000</v>
      </c>
    </row>
    <row r="14" customFormat="false" ht="14.25" hidden="false" customHeight="false" outlineLevel="0" collapsed="false">
      <c r="F14" s="0" t="n">
        <f aca="false">F13/3700</f>
        <v>51.0810810810811</v>
      </c>
    </row>
    <row r="16" customFormat="false" ht="15" hidden="false" customHeight="false" outlineLevel="0" collapsed="false">
      <c r="C16" s="51" t="s">
        <v>68</v>
      </c>
      <c r="D16" s="52" t="s">
        <v>69</v>
      </c>
    </row>
    <row r="17" customFormat="false" ht="14.25" hidden="false" customHeight="false" outlineLevel="0" collapsed="false">
      <c r="C17" s="53" t="s">
        <v>34</v>
      </c>
      <c r="D17" s="54" t="n">
        <v>40</v>
      </c>
    </row>
    <row r="18" customFormat="false" ht="14.25" hidden="false" customHeight="false" outlineLevel="0" collapsed="false">
      <c r="C18" s="55" t="s">
        <v>70</v>
      </c>
      <c r="D18" s="56" t="n">
        <v>170</v>
      </c>
    </row>
    <row r="19" customFormat="false" ht="14.25" hidden="false" customHeight="false" outlineLevel="0" collapsed="false">
      <c r="C19" s="55" t="s">
        <v>71</v>
      </c>
      <c r="D19" s="56" t="n">
        <v>52</v>
      </c>
    </row>
    <row r="20" customFormat="false" ht="14.25" hidden="false" customHeight="false" outlineLevel="0" collapsed="false">
      <c r="C20" s="57" t="s">
        <v>20</v>
      </c>
      <c r="D20" s="58" t="n">
        <f aca="false">SUM(D17:D19)</f>
        <v>262</v>
      </c>
    </row>
    <row r="24" customFormat="false" ht="17.35" hidden="false" customHeight="false" outlineLevel="0" collapsed="false">
      <c r="C24" s="38" t="s">
        <v>54</v>
      </c>
      <c r="D24" s="39" t="s">
        <v>55</v>
      </c>
      <c r="E24" s="40" t="s">
        <v>56</v>
      </c>
    </row>
    <row r="25" customFormat="false" ht="14.25" hidden="false" customHeight="false" outlineLevel="0" collapsed="false">
      <c r="C25" s="42" t="s">
        <v>72</v>
      </c>
      <c r="D25" s="43" t="s">
        <v>57</v>
      </c>
      <c r="E25" s="44" t="s">
        <v>58</v>
      </c>
    </row>
    <row r="26" customFormat="false" ht="26.5" hidden="false" customHeight="false" outlineLevel="0" collapsed="false">
      <c r="C26" s="42"/>
      <c r="D26" s="43" t="s">
        <v>73</v>
      </c>
      <c r="E26" s="47" t="s">
        <v>74</v>
      </c>
    </row>
    <row r="27" customFormat="false" ht="140.35" hidden="false" customHeight="false" outlineLevel="0" collapsed="false">
      <c r="C27" s="42"/>
      <c r="D27" s="46" t="s">
        <v>62</v>
      </c>
      <c r="E27" s="47" t="s">
        <v>63</v>
      </c>
    </row>
    <row r="28" customFormat="false" ht="89.75" hidden="false" customHeight="false" outlineLevel="0" collapsed="false">
      <c r="C28" s="42"/>
      <c r="D28" s="46" t="s">
        <v>27</v>
      </c>
      <c r="E28" s="47" t="s">
        <v>65</v>
      </c>
    </row>
    <row r="29" customFormat="false" ht="14.25" hidden="false" customHeight="false" outlineLevel="0" collapsed="false">
      <c r="C29" s="42"/>
      <c r="D29" s="49"/>
      <c r="E29" s="47"/>
    </row>
    <row r="30" customFormat="false" ht="14.25" hidden="false" customHeight="false" outlineLevel="0" collapsed="false">
      <c r="C30" s="42"/>
      <c r="D30" s="49" t="s">
        <v>66</v>
      </c>
      <c r="E30" s="50" t="s">
        <v>67</v>
      </c>
    </row>
    <row r="32" customFormat="false" ht="14.25" hidden="false" customHeight="false" outlineLevel="0" collapsed="false">
      <c r="C32" s="0" t="s">
        <v>75</v>
      </c>
    </row>
    <row r="33" customFormat="false" ht="17.35" hidden="false" customHeight="false" outlineLevel="0" collapsed="false">
      <c r="C33" s="38" t="s">
        <v>54</v>
      </c>
      <c r="D33" s="39" t="s">
        <v>55</v>
      </c>
      <c r="E33" s="40" t="s">
        <v>56</v>
      </c>
    </row>
    <row r="34" customFormat="false" ht="14.25" hidden="false" customHeight="false" outlineLevel="0" collapsed="false">
      <c r="B34" s="59" t="n">
        <v>1</v>
      </c>
      <c r="C34" s="42" t="n">
        <v>46017</v>
      </c>
      <c r="D34" s="43" t="s">
        <v>57</v>
      </c>
      <c r="E34" s="44" t="s">
        <v>58</v>
      </c>
    </row>
    <row r="35" customFormat="false" ht="14.25" hidden="false" customHeight="false" outlineLevel="0" collapsed="false">
      <c r="B35" s="59"/>
      <c r="C35" s="42" t="n">
        <v>46017</v>
      </c>
      <c r="D35" s="43" t="s">
        <v>76</v>
      </c>
      <c r="E35" s="47"/>
    </row>
    <row r="36" customFormat="false" ht="77.1" hidden="false" customHeight="false" outlineLevel="0" collapsed="false">
      <c r="B36" s="60" t="n">
        <v>2</v>
      </c>
      <c r="C36" s="42" t="n">
        <v>46018</v>
      </c>
      <c r="D36" s="46" t="s">
        <v>14</v>
      </c>
      <c r="E36" s="47" t="s">
        <v>77</v>
      </c>
    </row>
    <row r="37" customFormat="false" ht="89.75" hidden="false" customHeight="false" outlineLevel="0" collapsed="false">
      <c r="B37" s="61" t="n">
        <v>3</v>
      </c>
      <c r="C37" s="42" t="n">
        <v>46019</v>
      </c>
      <c r="D37" s="46" t="s">
        <v>27</v>
      </c>
      <c r="E37" s="47" t="s">
        <v>65</v>
      </c>
    </row>
    <row r="38" customFormat="false" ht="77.1" hidden="false" customHeight="false" outlineLevel="0" collapsed="false">
      <c r="B38" s="61" t="n">
        <v>4</v>
      </c>
      <c r="C38" s="42" t="n">
        <v>46020</v>
      </c>
      <c r="D38" s="46" t="s">
        <v>78</v>
      </c>
      <c r="E38" s="62" t="s">
        <v>79</v>
      </c>
    </row>
    <row r="39" customFormat="false" ht="89.75" hidden="false" customHeight="false" outlineLevel="0" collapsed="false">
      <c r="B39" s="60" t="n">
        <v>5</v>
      </c>
      <c r="C39" s="42" t="n">
        <v>46021</v>
      </c>
      <c r="D39" s="63" t="s">
        <v>80</v>
      </c>
      <c r="E39" s="62" t="s">
        <v>81</v>
      </c>
    </row>
    <row r="40" customFormat="false" ht="14.25" hidden="false" customHeight="false" outlineLevel="0" collapsed="false">
      <c r="B40" s="61" t="n">
        <v>6</v>
      </c>
      <c r="C40" s="42" t="n">
        <v>46022</v>
      </c>
      <c r="D40" s="7"/>
      <c r="E40" s="7"/>
    </row>
    <row r="41" customFormat="false" ht="14.25" hidden="false" customHeight="false" outlineLevel="0" collapsed="false">
      <c r="B41" s="61" t="n">
        <v>7</v>
      </c>
      <c r="C41" s="42" t="n">
        <v>46023</v>
      </c>
      <c r="E41" s="7"/>
    </row>
    <row r="42" customFormat="false" ht="14.25" hidden="false" customHeight="false" outlineLevel="0" collapsed="false">
      <c r="B42" s="60" t="n">
        <v>8</v>
      </c>
      <c r="C42" s="45" t="n">
        <v>46024</v>
      </c>
      <c r="D42" s="49" t="s">
        <v>66</v>
      </c>
      <c r="E42" s="50" t="s">
        <v>67</v>
      </c>
    </row>
    <row r="43" customFormat="false" ht="14.25" hidden="false" customHeight="false" outlineLevel="0" collapsed="false">
      <c r="C43" s="64"/>
    </row>
  </sheetData>
  <mergeCells count="1">
    <mergeCell ref="B34:B3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E128"/>
  <sheetViews>
    <sheetView showFormulas="false" showGridLines="true" showRowColHeaders="true" showZeros="true" rightToLeft="false" tabSelected="false" showOutlineSymbols="true" defaultGridColor="true" view="normal" topLeftCell="A32" colorId="64" zoomScale="100" zoomScaleNormal="100" zoomScalePageLayoutView="100" workbookViewId="0">
      <selection pane="topLeft" activeCell="O4" activeCellId="0" sqref="O4"/>
    </sheetView>
  </sheetViews>
  <sheetFormatPr defaultColWidth="10.6015625" defaultRowHeight="14.25" customHeight="false" zeroHeight="false" outlineLevelRow="0" outlineLevelCol="0"/>
  <cols>
    <col collapsed="false" customWidth="true" hidden="false" outlineLevel="0" max="2" min="2" style="0" width="36.22"/>
    <col collapsed="false" customWidth="true" hidden="false" outlineLevel="0" max="3" min="3" style="0" width="15.78"/>
    <col collapsed="false" customWidth="true" hidden="false" outlineLevel="0" max="5" min="5" style="0" width="15.78"/>
  </cols>
  <sheetData>
    <row r="4" customFormat="false" ht="19.7" hidden="false" customHeight="false" outlineLevel="0" collapsed="false">
      <c r="B4" s="13" t="s">
        <v>11</v>
      </c>
      <c r="C4" s="14" t="n">
        <v>25</v>
      </c>
      <c r="E4" s="3"/>
    </row>
    <row r="5" customFormat="false" ht="19.7" hidden="false" customHeight="false" outlineLevel="0" collapsed="false">
      <c r="B5" s="4"/>
      <c r="C5" s="3"/>
      <c r="E5" s="4" t="s">
        <v>2</v>
      </c>
    </row>
    <row r="6" customFormat="false" ht="19.7" hidden="false" customHeight="false" outlineLevel="0" collapsed="false">
      <c r="B6" s="5" t="s">
        <v>2</v>
      </c>
      <c r="C6" s="6" t="n">
        <v>600000</v>
      </c>
      <c r="E6" s="6" t="n">
        <f aca="false">C6/20</f>
        <v>30000</v>
      </c>
    </row>
    <row r="7" customFormat="false" ht="19.7" hidden="false" customHeight="false" outlineLevel="0" collapsed="false">
      <c r="B7" s="5" t="s">
        <v>7</v>
      </c>
      <c r="C7" s="6" t="n">
        <v>10000</v>
      </c>
      <c r="E7" s="6" t="n">
        <f aca="false">C7</f>
        <v>10000</v>
      </c>
    </row>
    <row r="8" customFormat="false" ht="19.7" hidden="false" customHeight="false" outlineLevel="0" collapsed="false">
      <c r="B8" s="5" t="s">
        <v>4</v>
      </c>
      <c r="C8" s="6" t="n">
        <v>300000</v>
      </c>
      <c r="E8" s="6" t="n">
        <f aca="false">C8/20</f>
        <v>15000</v>
      </c>
    </row>
    <row r="9" customFormat="false" ht="19.7" hidden="false" customHeight="false" outlineLevel="0" collapsed="false">
      <c r="B9" s="4" t="s">
        <v>15</v>
      </c>
      <c r="C9" s="3" t="n">
        <v>200000</v>
      </c>
      <c r="E9" s="10" t="n">
        <f aca="false">C9/20</f>
        <v>10000</v>
      </c>
    </row>
    <row r="10" customFormat="false" ht="19.7" hidden="false" customHeight="false" outlineLevel="0" collapsed="false">
      <c r="B10" s="4" t="s">
        <v>8</v>
      </c>
      <c r="C10" s="3"/>
      <c r="E10" s="10" t="n">
        <f aca="false">E11*20%</f>
        <v>13000</v>
      </c>
    </row>
    <row r="11" customFormat="false" ht="19.7" hidden="false" customHeight="false" outlineLevel="0" collapsed="false">
      <c r="B11" s="4" t="s">
        <v>9</v>
      </c>
      <c r="C11" s="3"/>
      <c r="E11" s="11" t="n">
        <f aca="false">E6+E7+E8+E9</f>
        <v>65000</v>
      </c>
    </row>
    <row r="12" customFormat="false" ht="19.7" hidden="false" customHeight="false" outlineLevel="0" collapsed="false">
      <c r="B12" s="4" t="s">
        <v>19</v>
      </c>
      <c r="C12" s="3"/>
      <c r="E12" s="12" t="n">
        <f aca="false">E11+E10</f>
        <v>78000</v>
      </c>
    </row>
    <row r="13" customFormat="false" ht="19.7" hidden="false" customHeight="false" outlineLevel="0" collapsed="false">
      <c r="B13" s="4" t="s">
        <v>21</v>
      </c>
      <c r="C13" s="3"/>
      <c r="E13" s="22" t="n">
        <f aca="false">E12/3200</f>
        <v>24.375</v>
      </c>
    </row>
    <row r="18" customFormat="false" ht="19.7" hidden="false" customHeight="false" outlineLevel="0" collapsed="false">
      <c r="B18" s="2" t="s">
        <v>14</v>
      </c>
      <c r="C18" s="3" t="n">
        <v>90</v>
      </c>
      <c r="E18" s="3"/>
    </row>
    <row r="19" customFormat="false" ht="19.7" hidden="false" customHeight="false" outlineLevel="0" collapsed="false">
      <c r="B19" s="4"/>
      <c r="C19" s="3"/>
      <c r="E19" s="4" t="s">
        <v>2</v>
      </c>
    </row>
    <row r="20" customFormat="false" ht="19.7" hidden="false" customHeight="false" outlineLevel="0" collapsed="false">
      <c r="B20" s="5" t="s">
        <v>2</v>
      </c>
      <c r="C20" s="6" t="n">
        <v>1000000</v>
      </c>
      <c r="D20" s="7"/>
      <c r="E20" s="6" t="n">
        <f aca="false">C20/20</f>
        <v>50000</v>
      </c>
    </row>
    <row r="21" customFormat="false" ht="19.7" hidden="false" customHeight="false" outlineLevel="0" collapsed="false">
      <c r="B21" s="5" t="s">
        <v>4</v>
      </c>
      <c r="C21" s="6" t="n">
        <v>500000</v>
      </c>
      <c r="D21" s="7"/>
      <c r="E21" s="6" t="n">
        <f aca="false">C21/20</f>
        <v>25000</v>
      </c>
    </row>
    <row r="22" customFormat="false" ht="19.7" hidden="false" customHeight="false" outlineLevel="0" collapsed="false">
      <c r="B22" s="21" t="s">
        <v>22</v>
      </c>
      <c r="C22" s="6" t="n">
        <v>200000</v>
      </c>
      <c r="D22" s="7"/>
      <c r="E22" s="6" t="n">
        <f aca="false">C22/20</f>
        <v>10000</v>
      </c>
    </row>
    <row r="23" customFormat="false" ht="19.7" hidden="false" customHeight="false" outlineLevel="0" collapsed="false">
      <c r="B23" s="5" t="s">
        <v>23</v>
      </c>
      <c r="C23" s="6" t="n">
        <v>40000</v>
      </c>
      <c r="D23" s="7"/>
      <c r="E23" s="6" t="n">
        <f aca="false">C23</f>
        <v>40000</v>
      </c>
    </row>
    <row r="24" customFormat="false" ht="19.7" hidden="false" customHeight="false" outlineLevel="0" collapsed="false">
      <c r="B24" s="5" t="s">
        <v>24</v>
      </c>
      <c r="C24" s="6" t="n">
        <v>100000</v>
      </c>
      <c r="D24" s="7"/>
      <c r="E24" s="6" t="n">
        <f aca="false">C24</f>
        <v>100000</v>
      </c>
    </row>
    <row r="25" customFormat="false" ht="19.7" hidden="false" customHeight="false" outlineLevel="0" collapsed="false">
      <c r="B25" s="5" t="s">
        <v>25</v>
      </c>
      <c r="C25" s="6" t="n">
        <v>20000</v>
      </c>
      <c r="D25" s="7"/>
      <c r="E25" s="6" t="n">
        <f aca="false">C25</f>
        <v>20000</v>
      </c>
    </row>
    <row r="26" customFormat="false" ht="19.7" hidden="false" customHeight="false" outlineLevel="0" collapsed="false">
      <c r="B26" s="5" t="s">
        <v>26</v>
      </c>
      <c r="C26" s="6" t="n">
        <v>30000</v>
      </c>
      <c r="D26" s="7"/>
      <c r="E26" s="6" t="n">
        <f aca="false">C26</f>
        <v>30000</v>
      </c>
    </row>
    <row r="27" customFormat="false" ht="19.7" hidden="false" customHeight="false" outlineLevel="0" collapsed="false">
      <c r="B27" s="4" t="s">
        <v>8</v>
      </c>
      <c r="C27" s="3"/>
      <c r="E27" s="10" t="n">
        <f aca="false">E28*20%</f>
        <v>55000</v>
      </c>
    </row>
    <row r="28" customFormat="false" ht="19.7" hidden="false" customHeight="false" outlineLevel="0" collapsed="false">
      <c r="B28" s="4" t="s">
        <v>9</v>
      </c>
      <c r="C28" s="3"/>
      <c r="E28" s="11" t="n">
        <f aca="false">E20+E21+E24+E23+E25+E26+E22</f>
        <v>275000</v>
      </c>
    </row>
    <row r="29" customFormat="false" ht="19.7" hidden="false" customHeight="false" outlineLevel="0" collapsed="false">
      <c r="B29" s="4" t="s">
        <v>19</v>
      </c>
      <c r="C29" s="3"/>
      <c r="E29" s="12" t="n">
        <f aca="false">E28+E27</f>
        <v>330000</v>
      </c>
    </row>
    <row r="30" customFormat="false" ht="19.7" hidden="false" customHeight="false" outlineLevel="0" collapsed="false">
      <c r="B30" s="4" t="s">
        <v>21</v>
      </c>
      <c r="C30" s="3"/>
      <c r="E30" s="12" t="n">
        <f aca="false">E29/3200</f>
        <v>103.125</v>
      </c>
    </row>
    <row r="34" customFormat="false" ht="19.7" hidden="false" customHeight="false" outlineLevel="0" collapsed="false">
      <c r="B34" s="2" t="s">
        <v>18</v>
      </c>
      <c r="C34" s="3" t="n">
        <v>70</v>
      </c>
      <c r="E34" s="3"/>
    </row>
    <row r="35" customFormat="false" ht="19.7" hidden="false" customHeight="false" outlineLevel="0" collapsed="false">
      <c r="B35" s="4"/>
      <c r="C35" s="3"/>
      <c r="E35" s="4" t="s">
        <v>2</v>
      </c>
    </row>
    <row r="36" customFormat="false" ht="19.7" hidden="false" customHeight="false" outlineLevel="0" collapsed="false">
      <c r="B36" s="5" t="s">
        <v>28</v>
      </c>
      <c r="C36" s="6" t="n">
        <v>600000</v>
      </c>
      <c r="D36" s="7"/>
      <c r="E36" s="6" t="n">
        <f aca="false">C36/20</f>
        <v>30000</v>
      </c>
    </row>
    <row r="37" customFormat="false" ht="19.7" hidden="false" customHeight="false" outlineLevel="0" collapsed="false">
      <c r="B37" s="5" t="s">
        <v>4</v>
      </c>
      <c r="C37" s="6" t="n">
        <v>200000</v>
      </c>
      <c r="D37" s="7"/>
      <c r="E37" s="6" t="n">
        <f aca="false">C37/20</f>
        <v>10000</v>
      </c>
    </row>
    <row r="38" customFormat="false" ht="19.7" hidden="false" customHeight="false" outlineLevel="0" collapsed="false">
      <c r="B38" s="21" t="s">
        <v>29</v>
      </c>
      <c r="C38" s="6" t="n">
        <v>20000</v>
      </c>
      <c r="D38" s="7"/>
      <c r="E38" s="6" t="n">
        <f aca="false">C38</f>
        <v>20000</v>
      </c>
    </row>
    <row r="39" customFormat="false" ht="19.7" hidden="false" customHeight="false" outlineLevel="0" collapsed="false">
      <c r="B39" s="5" t="s">
        <v>30</v>
      </c>
      <c r="C39" s="6" t="n">
        <v>150000</v>
      </c>
      <c r="D39" s="7"/>
      <c r="E39" s="6" t="n">
        <f aca="false">C39</f>
        <v>150000</v>
      </c>
    </row>
    <row r="40" customFormat="false" ht="19.7" hidden="false" customHeight="false" outlineLevel="0" collapsed="false">
      <c r="B40" s="5" t="s">
        <v>7</v>
      </c>
      <c r="C40" s="6" t="n">
        <v>0</v>
      </c>
      <c r="D40" s="7"/>
      <c r="E40" s="6" t="n">
        <f aca="false">C40</f>
        <v>0</v>
      </c>
    </row>
    <row r="41" customFormat="false" ht="19.7" hidden="false" customHeight="false" outlineLevel="0" collapsed="false">
      <c r="B41" s="4" t="s">
        <v>8</v>
      </c>
      <c r="C41" s="3"/>
      <c r="E41" s="10" t="n">
        <f aca="false">E42*20%</f>
        <v>42000</v>
      </c>
    </row>
    <row r="42" customFormat="false" ht="19.7" hidden="false" customHeight="false" outlineLevel="0" collapsed="false">
      <c r="B42" s="4" t="s">
        <v>9</v>
      </c>
      <c r="C42" s="3"/>
      <c r="E42" s="11" t="n">
        <f aca="false">E36+E37+E39+E40+E38</f>
        <v>210000</v>
      </c>
    </row>
    <row r="43" customFormat="false" ht="19.7" hidden="false" customHeight="false" outlineLevel="0" collapsed="false">
      <c r="B43" s="4" t="s">
        <v>19</v>
      </c>
      <c r="C43" s="3"/>
      <c r="E43" s="12" t="n">
        <f aca="false">E42+E41</f>
        <v>252000</v>
      </c>
    </row>
    <row r="44" customFormat="false" ht="19.7" hidden="false" customHeight="false" outlineLevel="0" collapsed="false">
      <c r="B44" s="4" t="s">
        <v>21</v>
      </c>
      <c r="C44" s="3"/>
      <c r="E44" s="12" t="n">
        <f aca="false">E43/3200</f>
        <v>78.75</v>
      </c>
    </row>
    <row r="50" customFormat="false" ht="19.7" hidden="false" customHeight="false" outlineLevel="0" collapsed="false">
      <c r="B50" s="2" t="s">
        <v>40</v>
      </c>
      <c r="C50" s="3" t="n">
        <v>100</v>
      </c>
      <c r="E50" s="3"/>
    </row>
    <row r="51" customFormat="false" ht="19.7" hidden="false" customHeight="false" outlineLevel="0" collapsed="false">
      <c r="B51" s="4"/>
      <c r="C51" s="3"/>
      <c r="E51" s="4" t="s">
        <v>2</v>
      </c>
    </row>
    <row r="52" customFormat="false" ht="19.7" hidden="false" customHeight="false" outlineLevel="0" collapsed="false">
      <c r="B52" s="5" t="s">
        <v>32</v>
      </c>
      <c r="C52" s="6" t="n">
        <v>2800000</v>
      </c>
      <c r="D52" s="7"/>
      <c r="E52" s="6" t="n">
        <f aca="false">C52/20</f>
        <v>140000</v>
      </c>
    </row>
    <row r="53" customFormat="false" ht="19.7" hidden="false" customHeight="false" outlineLevel="0" collapsed="false">
      <c r="B53" s="5" t="s">
        <v>4</v>
      </c>
      <c r="C53" s="6" t="n">
        <v>500000</v>
      </c>
      <c r="D53" s="7"/>
      <c r="E53" s="6" t="n">
        <f aca="false">C53/20</f>
        <v>25000</v>
      </c>
    </row>
    <row r="54" customFormat="false" ht="19.7" hidden="false" customHeight="false" outlineLevel="0" collapsed="false">
      <c r="B54" s="21" t="s">
        <v>41</v>
      </c>
      <c r="C54" s="6" t="n">
        <v>100000</v>
      </c>
      <c r="D54" s="7"/>
      <c r="E54" s="6" t="n">
        <f aca="false">C54</f>
        <v>100000</v>
      </c>
    </row>
    <row r="55" customFormat="false" ht="19.7" hidden="false" customHeight="false" outlineLevel="0" collapsed="false">
      <c r="B55" s="5" t="s">
        <v>42</v>
      </c>
      <c r="C55" s="6" t="n">
        <v>50000</v>
      </c>
      <c r="D55" s="7"/>
      <c r="E55" s="6" t="n">
        <f aca="false">C55/20</f>
        <v>2500</v>
      </c>
    </row>
    <row r="56" customFormat="false" ht="19.7" hidden="false" customHeight="false" outlineLevel="0" collapsed="false">
      <c r="B56" s="5" t="s">
        <v>7</v>
      </c>
      <c r="C56" s="6" t="n">
        <v>30000</v>
      </c>
      <c r="D56" s="7"/>
      <c r="E56" s="6" t="n">
        <f aca="false">C56</f>
        <v>30000</v>
      </c>
    </row>
    <row r="57" customFormat="false" ht="19.7" hidden="false" customHeight="false" outlineLevel="0" collapsed="false">
      <c r="B57" s="4" t="s">
        <v>8</v>
      </c>
      <c r="C57" s="3"/>
      <c r="E57" s="10" t="n">
        <f aca="false">E58*15%</f>
        <v>44625</v>
      </c>
    </row>
    <row r="58" customFormat="false" ht="19.7" hidden="false" customHeight="false" outlineLevel="0" collapsed="false">
      <c r="B58" s="4" t="s">
        <v>9</v>
      </c>
      <c r="C58" s="3"/>
      <c r="E58" s="11" t="n">
        <f aca="false">E52+E53+E55+E56+E54</f>
        <v>297500</v>
      </c>
    </row>
    <row r="59" customFormat="false" ht="19.7" hidden="false" customHeight="false" outlineLevel="0" collapsed="false">
      <c r="B59" s="4" t="s">
        <v>19</v>
      </c>
      <c r="C59" s="3"/>
      <c r="E59" s="12" t="n">
        <f aca="false">E58+E57</f>
        <v>342125</v>
      </c>
    </row>
    <row r="60" customFormat="false" ht="19.7" hidden="false" customHeight="false" outlineLevel="0" collapsed="false">
      <c r="B60" s="4" t="s">
        <v>21</v>
      </c>
      <c r="C60" s="3"/>
      <c r="E60" s="12" t="n">
        <f aca="false">E59/3200</f>
        <v>106.9140625</v>
      </c>
    </row>
    <row r="64" customFormat="false" ht="19.7" hidden="false" customHeight="false" outlineLevel="0" collapsed="false">
      <c r="B64" s="2" t="s">
        <v>27</v>
      </c>
      <c r="C64" s="3" t="n">
        <v>110</v>
      </c>
      <c r="E64" s="3"/>
    </row>
    <row r="65" customFormat="false" ht="19.7" hidden="false" customHeight="false" outlineLevel="0" collapsed="false">
      <c r="B65" s="4"/>
      <c r="C65" s="3"/>
      <c r="E65" s="4" t="s">
        <v>2</v>
      </c>
    </row>
    <row r="66" customFormat="false" ht="19.7" hidden="false" customHeight="false" outlineLevel="0" collapsed="false">
      <c r="B66" s="5" t="s">
        <v>28</v>
      </c>
      <c r="C66" s="6" t="n">
        <v>300000</v>
      </c>
      <c r="D66" s="7"/>
      <c r="E66" s="6" t="n">
        <f aca="false">C66/20</f>
        <v>15000</v>
      </c>
    </row>
    <row r="67" customFormat="false" ht="19.7" hidden="false" customHeight="false" outlineLevel="0" collapsed="false">
      <c r="B67" s="5" t="s">
        <v>4</v>
      </c>
      <c r="C67" s="6" t="n">
        <v>300000</v>
      </c>
      <c r="D67" s="7"/>
      <c r="E67" s="6" t="n">
        <f aca="false">C67/20</f>
        <v>15000</v>
      </c>
    </row>
    <row r="68" customFormat="false" ht="19.7" hidden="false" customHeight="false" outlineLevel="0" collapsed="false">
      <c r="B68" s="21" t="s">
        <v>29</v>
      </c>
      <c r="C68" s="6" t="n">
        <v>0</v>
      </c>
      <c r="D68" s="7"/>
      <c r="E68" s="6" t="n">
        <f aca="false">C68</f>
        <v>0</v>
      </c>
    </row>
    <row r="69" customFormat="false" ht="19.7" hidden="false" customHeight="false" outlineLevel="0" collapsed="false">
      <c r="B69" s="5" t="s">
        <v>43</v>
      </c>
      <c r="C69" s="6" t="n">
        <v>850000</v>
      </c>
      <c r="D69" s="7"/>
      <c r="E69" s="6" t="n">
        <f aca="false">C69</f>
        <v>850000</v>
      </c>
    </row>
    <row r="70" customFormat="false" ht="19.7" hidden="false" customHeight="false" outlineLevel="0" collapsed="false">
      <c r="B70" s="5" t="s">
        <v>7</v>
      </c>
      <c r="C70" s="6" t="n">
        <v>0</v>
      </c>
      <c r="D70" s="7"/>
      <c r="E70" s="6" t="n">
        <f aca="false">C70</f>
        <v>0</v>
      </c>
    </row>
    <row r="71" customFormat="false" ht="19.7" hidden="false" customHeight="false" outlineLevel="0" collapsed="false">
      <c r="B71" s="4" t="s">
        <v>8</v>
      </c>
      <c r="C71" s="3"/>
      <c r="E71" s="10" t="n">
        <f aca="false">E72*20%</f>
        <v>176000</v>
      </c>
    </row>
    <row r="72" customFormat="false" ht="19.7" hidden="false" customHeight="false" outlineLevel="0" collapsed="false">
      <c r="B72" s="4" t="s">
        <v>9</v>
      </c>
      <c r="C72" s="3"/>
      <c r="E72" s="11" t="n">
        <f aca="false">E66+E67+E69+E70+E68</f>
        <v>880000</v>
      </c>
    </row>
    <row r="73" customFormat="false" ht="19.7" hidden="false" customHeight="false" outlineLevel="0" collapsed="false">
      <c r="B73" s="4" t="s">
        <v>19</v>
      </c>
      <c r="C73" s="3"/>
      <c r="E73" s="12" t="n">
        <f aca="false">E72+E71</f>
        <v>1056000</v>
      </c>
    </row>
    <row r="74" customFormat="false" ht="19.7" hidden="false" customHeight="false" outlineLevel="0" collapsed="false">
      <c r="B74" s="4" t="s">
        <v>21</v>
      </c>
      <c r="C74" s="3"/>
      <c r="E74" s="12" t="n">
        <f aca="false">E73/3200</f>
        <v>330</v>
      </c>
    </row>
    <row r="77" customFormat="false" ht="19.7" hidden="false" customHeight="false" outlineLevel="0" collapsed="false">
      <c r="B77" s="2" t="s">
        <v>27</v>
      </c>
      <c r="C77" s="3" t="n">
        <v>110</v>
      </c>
      <c r="E77" s="3"/>
    </row>
    <row r="78" customFormat="false" ht="19.7" hidden="false" customHeight="false" outlineLevel="0" collapsed="false">
      <c r="B78" s="4"/>
      <c r="C78" s="3"/>
      <c r="E78" s="4" t="s">
        <v>2</v>
      </c>
    </row>
    <row r="79" customFormat="false" ht="19.7" hidden="false" customHeight="false" outlineLevel="0" collapsed="false">
      <c r="B79" s="5" t="s">
        <v>28</v>
      </c>
      <c r="C79" s="6" t="n">
        <v>300000</v>
      </c>
      <c r="D79" s="7"/>
      <c r="E79" s="6" t="n">
        <f aca="false">C79/20</f>
        <v>15000</v>
      </c>
    </row>
    <row r="80" customFormat="false" ht="19.7" hidden="false" customHeight="false" outlineLevel="0" collapsed="false">
      <c r="B80" s="5" t="s">
        <v>4</v>
      </c>
      <c r="C80" s="6" t="n">
        <v>300000</v>
      </c>
      <c r="D80" s="7"/>
      <c r="E80" s="6" t="n">
        <f aca="false">C80/20</f>
        <v>15000</v>
      </c>
    </row>
    <row r="81" customFormat="false" ht="19.7" hidden="false" customHeight="false" outlineLevel="0" collapsed="false">
      <c r="B81" s="21" t="s">
        <v>29</v>
      </c>
      <c r="C81" s="6" t="n">
        <v>0</v>
      </c>
      <c r="D81" s="7"/>
      <c r="E81" s="6" t="n">
        <f aca="false">C81</f>
        <v>0</v>
      </c>
    </row>
    <row r="82" customFormat="false" ht="19.7" hidden="false" customHeight="false" outlineLevel="0" collapsed="false">
      <c r="B82" s="5" t="s">
        <v>44</v>
      </c>
      <c r="C82" s="6" t="n">
        <v>460000</v>
      </c>
      <c r="D82" s="7"/>
      <c r="E82" s="6" t="n">
        <f aca="false">C82</f>
        <v>460000</v>
      </c>
    </row>
    <row r="83" customFormat="false" ht="19.7" hidden="false" customHeight="false" outlineLevel="0" collapsed="false">
      <c r="B83" s="5" t="s">
        <v>7</v>
      </c>
      <c r="C83" s="6" t="n">
        <v>0</v>
      </c>
      <c r="D83" s="7"/>
      <c r="E83" s="6" t="n">
        <f aca="false">C83</f>
        <v>0</v>
      </c>
    </row>
    <row r="84" customFormat="false" ht="19.7" hidden="false" customHeight="false" outlineLevel="0" collapsed="false">
      <c r="B84" s="4" t="s">
        <v>8</v>
      </c>
      <c r="C84" s="3"/>
      <c r="E84" s="10" t="n">
        <f aca="false">E85*20%</f>
        <v>98000</v>
      </c>
    </row>
    <row r="85" customFormat="false" ht="19.7" hidden="false" customHeight="false" outlineLevel="0" collapsed="false">
      <c r="B85" s="4" t="s">
        <v>9</v>
      </c>
      <c r="C85" s="3"/>
      <c r="E85" s="11" t="n">
        <f aca="false">E79+E80+E82+E83+E81</f>
        <v>490000</v>
      </c>
    </row>
    <row r="86" customFormat="false" ht="19.7" hidden="false" customHeight="false" outlineLevel="0" collapsed="false">
      <c r="B86" s="4" t="s">
        <v>19</v>
      </c>
      <c r="C86" s="3"/>
      <c r="E86" s="12" t="n">
        <f aca="false">E85+E84</f>
        <v>588000</v>
      </c>
    </row>
    <row r="87" customFormat="false" ht="19.7" hidden="false" customHeight="false" outlineLevel="0" collapsed="false">
      <c r="B87" s="4" t="s">
        <v>21</v>
      </c>
      <c r="C87" s="3"/>
      <c r="E87" s="12" t="n">
        <f aca="false">E86/3200</f>
        <v>183.75</v>
      </c>
    </row>
    <row r="92" customFormat="false" ht="19.7" hidden="false" customHeight="false" outlineLevel="0" collapsed="false">
      <c r="B92" s="2" t="s">
        <v>45</v>
      </c>
      <c r="C92" s="3" t="n">
        <v>110</v>
      </c>
      <c r="E92" s="3"/>
    </row>
    <row r="93" customFormat="false" ht="19.7" hidden="false" customHeight="false" outlineLevel="0" collapsed="false">
      <c r="B93" s="4"/>
      <c r="C93" s="3"/>
      <c r="E93" s="4" t="s">
        <v>2</v>
      </c>
    </row>
    <row r="94" customFormat="false" ht="19.7" hidden="false" customHeight="false" outlineLevel="0" collapsed="false">
      <c r="B94" s="5" t="s">
        <v>32</v>
      </c>
      <c r="C94" s="6" t="n">
        <v>1000000</v>
      </c>
      <c r="D94" s="7"/>
      <c r="E94" s="6" t="n">
        <f aca="false">C94/20</f>
        <v>50000</v>
      </c>
    </row>
    <row r="95" customFormat="false" ht="19.7" hidden="false" customHeight="false" outlineLevel="0" collapsed="false">
      <c r="B95" s="5" t="s">
        <v>4</v>
      </c>
      <c r="C95" s="6" t="n">
        <v>500000</v>
      </c>
      <c r="D95" s="7"/>
      <c r="E95" s="6" t="n">
        <f aca="false">C95/20</f>
        <v>25000</v>
      </c>
    </row>
    <row r="96" customFormat="false" ht="19.7" hidden="false" customHeight="false" outlineLevel="0" collapsed="false">
      <c r="B96" s="21" t="s">
        <v>46</v>
      </c>
      <c r="C96" s="6" t="n">
        <v>50000</v>
      </c>
      <c r="D96" s="7"/>
      <c r="E96" s="6" t="n">
        <f aca="false">C96</f>
        <v>50000</v>
      </c>
    </row>
    <row r="97" customFormat="false" ht="19.7" hidden="false" customHeight="false" outlineLevel="0" collapsed="false">
      <c r="B97" s="5" t="s">
        <v>6</v>
      </c>
      <c r="C97" s="6" t="n">
        <v>120000</v>
      </c>
      <c r="D97" s="7"/>
      <c r="E97" s="6" t="n">
        <f aca="false">C97</f>
        <v>120000</v>
      </c>
    </row>
    <row r="98" customFormat="false" ht="19.7" hidden="false" customHeight="false" outlineLevel="0" collapsed="false">
      <c r="B98" s="5" t="s">
        <v>7</v>
      </c>
      <c r="C98" s="6" t="n">
        <v>30000</v>
      </c>
      <c r="D98" s="7"/>
      <c r="E98" s="6" t="n">
        <f aca="false">C98</f>
        <v>30000</v>
      </c>
    </row>
    <row r="99" customFormat="false" ht="19.7" hidden="false" customHeight="false" outlineLevel="0" collapsed="false">
      <c r="B99" s="4" t="s">
        <v>8</v>
      </c>
      <c r="C99" s="3"/>
      <c r="E99" s="10" t="n">
        <f aca="false">E100*20%</f>
        <v>55000</v>
      </c>
    </row>
    <row r="100" customFormat="false" ht="19.7" hidden="false" customHeight="false" outlineLevel="0" collapsed="false">
      <c r="B100" s="4" t="s">
        <v>9</v>
      </c>
      <c r="C100" s="3"/>
      <c r="E100" s="11" t="n">
        <f aca="false">E94+E95+E97+E98+E96</f>
        <v>275000</v>
      </c>
    </row>
    <row r="101" customFormat="false" ht="19.7" hidden="false" customHeight="false" outlineLevel="0" collapsed="false">
      <c r="B101" s="4" t="s">
        <v>19</v>
      </c>
      <c r="C101" s="3"/>
      <c r="E101" s="12" t="n">
        <f aca="false">E100+E99</f>
        <v>330000</v>
      </c>
    </row>
    <row r="102" customFormat="false" ht="19.7" hidden="false" customHeight="false" outlineLevel="0" collapsed="false">
      <c r="B102" s="4" t="s">
        <v>21</v>
      </c>
      <c r="C102" s="3"/>
      <c r="E102" s="12" t="n">
        <f aca="false">E101/3200</f>
        <v>103.125</v>
      </c>
    </row>
    <row r="105" customFormat="false" ht="19.7" hidden="false" customHeight="false" outlineLevel="0" collapsed="false">
      <c r="B105" s="2" t="s">
        <v>47</v>
      </c>
      <c r="C105" s="3" t="n">
        <v>110</v>
      </c>
      <c r="E105" s="3"/>
    </row>
    <row r="106" customFormat="false" ht="19.7" hidden="false" customHeight="false" outlineLevel="0" collapsed="false">
      <c r="B106" s="4"/>
      <c r="C106" s="3"/>
      <c r="E106" s="4" t="s">
        <v>2</v>
      </c>
    </row>
    <row r="107" customFormat="false" ht="19.7" hidden="false" customHeight="false" outlineLevel="0" collapsed="false">
      <c r="B107" s="5" t="s">
        <v>32</v>
      </c>
      <c r="C107" s="6" t="n">
        <v>1000000</v>
      </c>
      <c r="D107" s="7"/>
      <c r="E107" s="6" t="n">
        <f aca="false">C107/20</f>
        <v>50000</v>
      </c>
    </row>
    <row r="108" customFormat="false" ht="19.7" hidden="false" customHeight="false" outlineLevel="0" collapsed="false">
      <c r="B108" s="5" t="s">
        <v>4</v>
      </c>
      <c r="C108" s="6" t="n">
        <v>500000</v>
      </c>
      <c r="D108" s="7"/>
      <c r="E108" s="6" t="n">
        <f aca="false">C108/20</f>
        <v>25000</v>
      </c>
    </row>
    <row r="109" customFormat="false" ht="19.7" hidden="false" customHeight="false" outlineLevel="0" collapsed="false">
      <c r="B109" s="21" t="s">
        <v>48</v>
      </c>
      <c r="C109" s="6" t="n">
        <v>30000</v>
      </c>
      <c r="D109" s="7"/>
      <c r="E109" s="6" t="n">
        <f aca="false">C109</f>
        <v>30000</v>
      </c>
    </row>
    <row r="110" customFormat="false" ht="19.7" hidden="false" customHeight="false" outlineLevel="0" collapsed="false">
      <c r="B110" s="5" t="s">
        <v>6</v>
      </c>
      <c r="C110" s="6" t="n">
        <v>60000</v>
      </c>
      <c r="D110" s="7"/>
      <c r="E110" s="6" t="n">
        <f aca="false">C110</f>
        <v>60000</v>
      </c>
    </row>
    <row r="111" customFormat="false" ht="19.7" hidden="false" customHeight="false" outlineLevel="0" collapsed="false">
      <c r="B111" s="5" t="s">
        <v>7</v>
      </c>
      <c r="C111" s="6" t="n">
        <v>30000</v>
      </c>
      <c r="D111" s="7"/>
      <c r="E111" s="6" t="n">
        <f aca="false">C111</f>
        <v>30000</v>
      </c>
    </row>
    <row r="112" customFormat="false" ht="19.7" hidden="false" customHeight="false" outlineLevel="0" collapsed="false">
      <c r="B112" s="4" t="s">
        <v>8</v>
      </c>
      <c r="C112" s="3"/>
      <c r="E112" s="10" t="n">
        <f aca="false">E113*20%</f>
        <v>39000</v>
      </c>
    </row>
    <row r="113" customFormat="false" ht="19.7" hidden="false" customHeight="false" outlineLevel="0" collapsed="false">
      <c r="B113" s="4" t="s">
        <v>9</v>
      </c>
      <c r="C113" s="3"/>
      <c r="E113" s="11" t="n">
        <f aca="false">E107+E108+E110+E111+E109</f>
        <v>195000</v>
      </c>
    </row>
    <row r="114" customFormat="false" ht="19.7" hidden="false" customHeight="false" outlineLevel="0" collapsed="false">
      <c r="B114" s="4" t="s">
        <v>19</v>
      </c>
      <c r="C114" s="3"/>
      <c r="E114" s="12" t="n">
        <f aca="false">E113+E112</f>
        <v>234000</v>
      </c>
    </row>
    <row r="115" customFormat="false" ht="19.7" hidden="false" customHeight="false" outlineLevel="0" collapsed="false">
      <c r="B115" s="4" t="s">
        <v>21</v>
      </c>
      <c r="C115" s="3"/>
      <c r="E115" s="12" t="n">
        <f aca="false">E114/3200</f>
        <v>73.125</v>
      </c>
    </row>
    <row r="119" customFormat="false" ht="19.7" hidden="false" customHeight="false" outlineLevel="0" collapsed="false">
      <c r="B119" s="15" t="s">
        <v>12</v>
      </c>
      <c r="C119" s="15"/>
      <c r="D119" s="34"/>
    </row>
    <row r="120" customFormat="false" ht="19.7" hidden="false" customHeight="false" outlineLevel="0" collapsed="false">
      <c r="B120" s="16" t="s">
        <v>13</v>
      </c>
      <c r="C120" s="35" t="n">
        <v>25</v>
      </c>
      <c r="D120" s="36"/>
    </row>
    <row r="121" customFormat="false" ht="19.7" hidden="false" customHeight="false" outlineLevel="0" collapsed="false">
      <c r="B121" s="18" t="s">
        <v>14</v>
      </c>
      <c r="C121" s="9" t="n">
        <v>105</v>
      </c>
      <c r="D121" s="36"/>
    </row>
    <row r="122" customFormat="false" ht="19.7" hidden="false" customHeight="false" outlineLevel="0" collapsed="false">
      <c r="B122" s="19" t="s">
        <v>49</v>
      </c>
      <c r="C122" s="9" t="n">
        <v>330</v>
      </c>
      <c r="D122" s="36"/>
    </row>
    <row r="123" customFormat="false" ht="19.7" hidden="false" customHeight="false" outlineLevel="0" collapsed="false">
      <c r="B123" s="19" t="s">
        <v>50</v>
      </c>
      <c r="C123" s="9" t="n">
        <v>185</v>
      </c>
      <c r="D123" s="37"/>
    </row>
    <row r="124" customFormat="false" ht="19.7" hidden="false" customHeight="false" outlineLevel="0" collapsed="false">
      <c r="B124" s="19" t="s">
        <v>51</v>
      </c>
      <c r="C124" s="9" t="n">
        <v>105</v>
      </c>
      <c r="D124" s="37"/>
    </row>
    <row r="125" customFormat="false" ht="19.7" hidden="false" customHeight="false" outlineLevel="0" collapsed="false">
      <c r="B125" s="19" t="s">
        <v>52</v>
      </c>
      <c r="C125" s="9" t="n">
        <v>110</v>
      </c>
      <c r="D125" s="37"/>
    </row>
    <row r="126" customFormat="false" ht="19.7" hidden="false" customHeight="false" outlineLevel="0" collapsed="false">
      <c r="B126" s="19" t="s">
        <v>53</v>
      </c>
      <c r="C126" s="9" t="n">
        <v>75</v>
      </c>
      <c r="D126" s="37"/>
    </row>
    <row r="127" customFormat="false" ht="19.7" hidden="false" customHeight="false" outlineLevel="0" collapsed="false">
      <c r="B127" s="21" t="s">
        <v>18</v>
      </c>
      <c r="C127" s="9" t="n">
        <v>80</v>
      </c>
      <c r="D127" s="36"/>
    </row>
    <row r="128" customFormat="false" ht="19.7" hidden="false" customHeight="false" outlineLevel="0" collapsed="false">
      <c r="B128" s="21" t="s">
        <v>20</v>
      </c>
      <c r="C128" s="9"/>
      <c r="D128" s="36"/>
    </row>
  </sheetData>
  <mergeCells count="1">
    <mergeCell ref="B119:C1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7" activeCellId="0" sqref="I17"/>
    </sheetView>
  </sheetViews>
  <sheetFormatPr defaultColWidth="10.6015625" defaultRowHeight="14.25" customHeight="false" zeroHeight="false" outlineLevelRow="0" outlineLevelCol="0"/>
  <cols>
    <col collapsed="false" customWidth="true" hidden="false" outlineLevel="0" max="2" min="2" style="0" width="45.11"/>
    <col collapsed="false" customWidth="true" hidden="false" outlineLevel="0" max="3" min="3" style="0" width="15.89"/>
    <col collapsed="false" customWidth="true" hidden="false" outlineLevel="0" max="5" min="5" style="0" width="13.55"/>
    <col collapsed="false" customWidth="true" hidden="false" outlineLevel="0" max="9" min="9" style="0" width="48.78"/>
    <col collapsed="false" customWidth="true" hidden="false" outlineLevel="0" max="13" min="13" style="0" width="21.55"/>
    <col collapsed="false" customWidth="true" hidden="false" outlineLevel="0" max="14" min="14" style="0" width="53.44"/>
  </cols>
  <sheetData>
    <row r="2" customFormat="false" ht="17.35" hidden="false" customHeight="false" outlineLevel="0" collapsed="false">
      <c r="B2" s="65" t="s">
        <v>82</v>
      </c>
      <c r="C2" s="65"/>
      <c r="D2" s="65"/>
      <c r="E2" s="65"/>
    </row>
    <row r="5" customFormat="false" ht="19.7" hidden="false" customHeight="false" outlineLevel="0" collapsed="false">
      <c r="B5" s="66" t="s">
        <v>83</v>
      </c>
      <c r="C5" s="66"/>
      <c r="D5" s="66"/>
      <c r="E5" s="66"/>
      <c r="I5" s="15" t="s">
        <v>12</v>
      </c>
      <c r="J5" s="15"/>
    </row>
    <row r="6" customFormat="false" ht="19.7" hidden="false" customHeight="false" outlineLevel="0" collapsed="false">
      <c r="I6" s="67" t="s">
        <v>13</v>
      </c>
      <c r="J6" s="68" t="n">
        <v>25</v>
      </c>
    </row>
    <row r="7" customFormat="false" ht="19.7" hidden="false" customHeight="false" outlineLevel="0" collapsed="false">
      <c r="B7" s="2" t="s">
        <v>14</v>
      </c>
      <c r="C7" s="3" t="n">
        <v>94</v>
      </c>
      <c r="E7" s="3"/>
      <c r="I7" s="69" t="s">
        <v>14</v>
      </c>
      <c r="J7" s="70" t="n">
        <v>90</v>
      </c>
    </row>
    <row r="8" customFormat="false" ht="19.7" hidden="false" customHeight="false" outlineLevel="0" collapsed="false">
      <c r="B8" s="4"/>
      <c r="C8" s="3"/>
      <c r="E8" s="4" t="s">
        <v>2</v>
      </c>
      <c r="I8" s="71" t="s">
        <v>84</v>
      </c>
      <c r="J8" s="70" t="n">
        <v>160</v>
      </c>
    </row>
    <row r="9" customFormat="false" ht="19.7" hidden="false" customHeight="false" outlineLevel="0" collapsed="false">
      <c r="B9" s="5" t="s">
        <v>2</v>
      </c>
      <c r="C9" s="6" t="n">
        <v>600000</v>
      </c>
      <c r="D9" s="7"/>
      <c r="E9" s="6" t="n">
        <f aca="false">C9/7</f>
        <v>85714.2857142857</v>
      </c>
      <c r="I9" s="71" t="s">
        <v>85</v>
      </c>
      <c r="J9" s="70" t="n">
        <v>150</v>
      </c>
    </row>
    <row r="10" customFormat="false" ht="19.7" hidden="false" customHeight="false" outlineLevel="0" collapsed="false">
      <c r="B10" s="5" t="s">
        <v>4</v>
      </c>
      <c r="C10" s="6" t="n">
        <v>300000</v>
      </c>
      <c r="D10" s="7"/>
      <c r="E10" s="6" t="n">
        <f aca="false">C10/7</f>
        <v>42857.1428571429</v>
      </c>
      <c r="I10" s="71" t="s">
        <v>86</v>
      </c>
      <c r="J10" s="70" t="n">
        <v>140</v>
      </c>
    </row>
    <row r="11" customFormat="false" ht="19.85" hidden="false" customHeight="false" outlineLevel="0" collapsed="false">
      <c r="B11" s="5"/>
      <c r="C11" s="6"/>
      <c r="D11" s="7"/>
      <c r="E11" s="6"/>
      <c r="I11" s="72" t="s">
        <v>87</v>
      </c>
      <c r="J11" s="70" t="n">
        <v>85</v>
      </c>
    </row>
    <row r="12" customFormat="false" ht="19.7" hidden="false" customHeight="false" outlineLevel="0" collapsed="false">
      <c r="B12" s="21" t="s">
        <v>22</v>
      </c>
      <c r="C12" s="6" t="n">
        <v>0</v>
      </c>
      <c r="D12" s="7"/>
      <c r="E12" s="6" t="n">
        <f aca="false">C12/5</f>
        <v>0</v>
      </c>
      <c r="I12" s="73" t="s">
        <v>88</v>
      </c>
      <c r="J12" s="74" t="n">
        <v>35</v>
      </c>
    </row>
    <row r="13" customFormat="false" ht="19.7" hidden="false" customHeight="false" outlineLevel="0" collapsed="false">
      <c r="B13" s="5" t="s">
        <v>23</v>
      </c>
      <c r="C13" s="6" t="n">
        <v>35000</v>
      </c>
      <c r="D13" s="7"/>
      <c r="E13" s="6" t="n">
        <f aca="false">C13</f>
        <v>35000</v>
      </c>
      <c r="I13" s="75" t="s">
        <v>89</v>
      </c>
      <c r="J13" s="76" t="n">
        <v>105</v>
      </c>
    </row>
    <row r="14" customFormat="false" ht="19.7" hidden="false" customHeight="false" outlineLevel="0" collapsed="false">
      <c r="B14" s="5" t="s">
        <v>24</v>
      </c>
      <c r="C14" s="6" t="n">
        <v>80000</v>
      </c>
      <c r="D14" s="7"/>
      <c r="E14" s="6" t="n">
        <f aca="false">C14</f>
        <v>80000</v>
      </c>
      <c r="F14" s="4"/>
    </row>
    <row r="15" customFormat="false" ht="19.7" hidden="false" customHeight="false" outlineLevel="0" collapsed="false">
      <c r="B15" s="5" t="s">
        <v>25</v>
      </c>
      <c r="C15" s="6" t="n">
        <v>18000</v>
      </c>
      <c r="D15" s="7"/>
      <c r="E15" s="6" t="n">
        <f aca="false">C15</f>
        <v>18000</v>
      </c>
      <c r="F15" s="4"/>
      <c r="I15" s="77"/>
      <c r="J15" s="77"/>
      <c r="K15" s="41"/>
    </row>
    <row r="16" customFormat="false" ht="19.7" hidden="false" customHeight="false" outlineLevel="0" collapsed="false">
      <c r="B16" s="5" t="s">
        <v>90</v>
      </c>
      <c r="C16" s="6" t="n">
        <v>30000</v>
      </c>
      <c r="D16" s="7"/>
      <c r="E16" s="6" t="n">
        <f aca="false">C16</f>
        <v>30000</v>
      </c>
      <c r="F16" s="4"/>
      <c r="I16" s="78"/>
      <c r="J16" s="36"/>
      <c r="K16" s="3"/>
    </row>
    <row r="17" customFormat="false" ht="19.7" hidden="false" customHeight="false" outlineLevel="0" collapsed="false">
      <c r="B17" s="4" t="s">
        <v>8</v>
      </c>
      <c r="C17" s="3"/>
      <c r="E17" s="10" t="n">
        <f aca="false">E18*5%</f>
        <v>14578.5714285714</v>
      </c>
      <c r="F17" s="4"/>
      <c r="I17" s="2"/>
      <c r="J17" s="3"/>
      <c r="K17" s="3"/>
    </row>
    <row r="18" customFormat="false" ht="19.7" hidden="false" customHeight="false" outlineLevel="0" collapsed="false">
      <c r="B18" s="4" t="s">
        <v>9</v>
      </c>
      <c r="C18" s="3"/>
      <c r="E18" s="11" t="n">
        <f aca="false">E9+E10+E14+E13+E15+E16+E12</f>
        <v>291571.428571429</v>
      </c>
      <c r="F18" s="4"/>
      <c r="I18" s="79"/>
      <c r="J18" s="36"/>
      <c r="K18" s="3"/>
    </row>
    <row r="19" customFormat="false" ht="19.7" hidden="false" customHeight="false" outlineLevel="0" collapsed="false">
      <c r="B19" s="4" t="s">
        <v>19</v>
      </c>
      <c r="C19" s="3"/>
      <c r="E19" s="12" t="n">
        <f aca="false">E18+E17</f>
        <v>306150</v>
      </c>
      <c r="F19" s="4"/>
      <c r="I19" s="79"/>
      <c r="J19" s="36"/>
      <c r="K19" s="3"/>
    </row>
    <row r="20" customFormat="false" ht="19.7" hidden="false" customHeight="false" outlineLevel="0" collapsed="false">
      <c r="B20" s="4" t="s">
        <v>21</v>
      </c>
      <c r="C20" s="3"/>
      <c r="E20" s="12" t="n">
        <f aca="false">E19/3500</f>
        <v>87.4714285714286</v>
      </c>
      <c r="F20" s="4"/>
      <c r="I20" s="79"/>
      <c r="J20" s="36"/>
      <c r="K20" s="3"/>
    </row>
    <row r="21" customFormat="false" ht="19.7" hidden="false" customHeight="false" outlineLevel="0" collapsed="false">
      <c r="I21" s="78"/>
      <c r="J21" s="36"/>
      <c r="K21" s="3"/>
    </row>
    <row r="24" customFormat="false" ht="19.7" hidden="false" customHeight="false" outlineLevel="0" collapsed="false">
      <c r="B24" s="2" t="s">
        <v>18</v>
      </c>
      <c r="C24" s="3" t="n">
        <v>60</v>
      </c>
      <c r="E24" s="3"/>
    </row>
    <row r="25" customFormat="false" ht="19.7" hidden="false" customHeight="false" outlineLevel="0" collapsed="false">
      <c r="B25" s="4"/>
      <c r="C25" s="3"/>
      <c r="E25" s="4" t="s">
        <v>2</v>
      </c>
    </row>
    <row r="26" customFormat="false" ht="19.7" hidden="false" customHeight="false" outlineLevel="0" collapsed="false">
      <c r="B26" s="5" t="s">
        <v>28</v>
      </c>
      <c r="C26" s="6" t="n">
        <v>200000</v>
      </c>
      <c r="D26" s="7"/>
      <c r="E26" s="6" t="n">
        <f aca="false">C26/7</f>
        <v>28571.4285714286</v>
      </c>
      <c r="G26" s="0" t="n">
        <f aca="false">60+60+30</f>
        <v>150</v>
      </c>
    </row>
    <row r="27" customFormat="false" ht="19.7" hidden="false" customHeight="false" outlineLevel="0" collapsed="false">
      <c r="B27" s="5" t="s">
        <v>4</v>
      </c>
      <c r="C27" s="6" t="n">
        <v>200000</v>
      </c>
      <c r="D27" s="7"/>
      <c r="E27" s="6" t="n">
        <f aca="false">C27/7</f>
        <v>28571.4285714286</v>
      </c>
      <c r="G27" s="0" t="n">
        <f aca="false">G26*4000</f>
        <v>600000</v>
      </c>
    </row>
    <row r="28" customFormat="false" ht="19.7" hidden="false" customHeight="false" outlineLevel="0" collapsed="false">
      <c r="B28" s="21" t="s">
        <v>29</v>
      </c>
      <c r="C28" s="6" t="n">
        <v>20000</v>
      </c>
      <c r="D28" s="7"/>
      <c r="E28" s="6" t="n">
        <f aca="false">C28</f>
        <v>20000</v>
      </c>
      <c r="G28" s="0" t="n">
        <f aca="false">330000</f>
        <v>330000</v>
      </c>
    </row>
    <row r="29" customFormat="false" ht="19.7" hidden="false" customHeight="false" outlineLevel="0" collapsed="false">
      <c r="B29" s="5" t="s">
        <v>91</v>
      </c>
      <c r="C29" s="6" t="n">
        <v>180000</v>
      </c>
      <c r="D29" s="7"/>
      <c r="E29" s="6" t="n">
        <f aca="false">C29</f>
        <v>180000</v>
      </c>
      <c r="G29" s="80" t="n">
        <f aca="false">G27-G28</f>
        <v>270000</v>
      </c>
    </row>
    <row r="30" customFormat="false" ht="19.7" hidden="false" customHeight="false" outlineLevel="0" collapsed="false">
      <c r="B30" s="5" t="s">
        <v>7</v>
      </c>
      <c r="C30" s="6" t="n">
        <v>0</v>
      </c>
      <c r="D30" s="7"/>
      <c r="E30" s="6" t="n">
        <f aca="false">C30</f>
        <v>0</v>
      </c>
    </row>
    <row r="31" customFormat="false" ht="19.7" hidden="false" customHeight="false" outlineLevel="0" collapsed="false">
      <c r="B31" s="4" t="s">
        <v>8</v>
      </c>
      <c r="C31" s="3"/>
      <c r="E31" s="10" t="n">
        <f aca="false">E32*10%</f>
        <v>25714.2857142857</v>
      </c>
    </row>
    <row r="32" customFormat="false" ht="19.7" hidden="false" customHeight="false" outlineLevel="0" collapsed="false">
      <c r="B32" s="4" t="s">
        <v>9</v>
      </c>
      <c r="C32" s="3"/>
      <c r="E32" s="11" t="n">
        <f aca="false">E26+E27+E29+E30+E28</f>
        <v>257142.857142857</v>
      </c>
    </row>
    <row r="33" customFormat="false" ht="19.7" hidden="false" customHeight="false" outlineLevel="0" collapsed="false">
      <c r="B33" s="4" t="s">
        <v>19</v>
      </c>
      <c r="C33" s="3"/>
      <c r="E33" s="12" t="n">
        <f aca="false">E32+E31</f>
        <v>282857.142857143</v>
      </c>
    </row>
    <row r="34" customFormat="false" ht="19.7" hidden="false" customHeight="false" outlineLevel="0" collapsed="false">
      <c r="B34" s="4" t="s">
        <v>21</v>
      </c>
      <c r="C34" s="3"/>
      <c r="E34" s="12" t="n">
        <f aca="false">E33/3500</f>
        <v>80.8163265306123</v>
      </c>
    </row>
    <row r="35" customFormat="false" ht="14.25" hidden="false" customHeight="false" outlineLevel="0" collapsed="false">
      <c r="J35" s="0" t="s">
        <v>92</v>
      </c>
    </row>
    <row r="37" customFormat="false" ht="19.7" hidden="false" customHeight="false" outlineLevel="0" collapsed="false">
      <c r="B37" s="13" t="s">
        <v>11</v>
      </c>
      <c r="C37" s="14" t="n">
        <v>20</v>
      </c>
      <c r="E37" s="3"/>
    </row>
    <row r="38" customFormat="false" ht="19.7" hidden="false" customHeight="false" outlineLevel="0" collapsed="false">
      <c r="B38" s="4"/>
      <c r="C38" s="3"/>
      <c r="E38" s="4" t="s">
        <v>2</v>
      </c>
    </row>
    <row r="39" customFormat="false" ht="19.7" hidden="false" customHeight="false" outlineLevel="0" collapsed="false">
      <c r="B39" s="5" t="s">
        <v>2</v>
      </c>
      <c r="C39" s="6" t="n">
        <v>300000</v>
      </c>
      <c r="E39" s="6" t="n">
        <f aca="false">C39/7</f>
        <v>42857.1428571429</v>
      </c>
    </row>
    <row r="40" customFormat="false" ht="19.7" hidden="false" customHeight="false" outlineLevel="0" collapsed="false">
      <c r="B40" s="5" t="s">
        <v>7</v>
      </c>
      <c r="C40" s="6" t="n">
        <v>10000</v>
      </c>
      <c r="E40" s="6" t="n">
        <f aca="false">C40</f>
        <v>10000</v>
      </c>
    </row>
    <row r="41" customFormat="false" ht="19.7" hidden="false" customHeight="false" outlineLevel="0" collapsed="false">
      <c r="B41" s="5" t="s">
        <v>4</v>
      </c>
      <c r="C41" s="6" t="n">
        <v>200000</v>
      </c>
      <c r="E41" s="6" t="n">
        <f aca="false">C41/7</f>
        <v>28571.4285714286</v>
      </c>
    </row>
    <row r="42" customFormat="false" ht="19.7" hidden="false" customHeight="false" outlineLevel="0" collapsed="false">
      <c r="B42" s="4" t="s">
        <v>8</v>
      </c>
      <c r="C42" s="3"/>
      <c r="E42" s="10" t="n">
        <f aca="false">E43*10%</f>
        <v>8142.85714285714</v>
      </c>
    </row>
    <row r="43" customFormat="false" ht="19.7" hidden="false" customHeight="false" outlineLevel="0" collapsed="false">
      <c r="B43" s="4" t="s">
        <v>9</v>
      </c>
      <c r="C43" s="3"/>
      <c r="E43" s="11" t="n">
        <f aca="false">E39+E40+E41</f>
        <v>81428.5714285714</v>
      </c>
    </row>
    <row r="44" customFormat="false" ht="19.7" hidden="false" customHeight="false" outlineLevel="0" collapsed="false">
      <c r="B44" s="4" t="s">
        <v>19</v>
      </c>
      <c r="C44" s="3"/>
      <c r="E44" s="12" t="n">
        <f aca="false">E43+E42</f>
        <v>89571.4285714286</v>
      </c>
    </row>
    <row r="45" customFormat="false" ht="19.7" hidden="false" customHeight="false" outlineLevel="0" collapsed="false">
      <c r="B45" s="4" t="s">
        <v>21</v>
      </c>
      <c r="C45" s="3"/>
      <c r="E45" s="22" t="n">
        <f aca="false">E44/3500</f>
        <v>25.5918367346939</v>
      </c>
    </row>
    <row r="48" customFormat="false" ht="19.7" hidden="false" customHeight="false" outlineLevel="0" collapsed="false">
      <c r="B48" s="2" t="s">
        <v>93</v>
      </c>
      <c r="C48" s="3" t="n">
        <v>140</v>
      </c>
      <c r="E48" s="3"/>
    </row>
    <row r="49" customFormat="false" ht="19.7" hidden="false" customHeight="false" outlineLevel="0" collapsed="false">
      <c r="B49" s="4"/>
      <c r="C49" s="3"/>
      <c r="E49" s="4" t="s">
        <v>2</v>
      </c>
    </row>
    <row r="50" customFormat="false" ht="19.7" hidden="false" customHeight="false" outlineLevel="0" collapsed="false">
      <c r="B50" s="5" t="s">
        <v>28</v>
      </c>
      <c r="C50" s="6" t="n">
        <v>200000</v>
      </c>
      <c r="D50" s="7"/>
      <c r="E50" s="6" t="n">
        <f aca="false">C50/7</f>
        <v>28571.4285714286</v>
      </c>
      <c r="G50" s="81"/>
      <c r="K50" s="0" t="n">
        <f aca="false">690000/4000</f>
        <v>172.5</v>
      </c>
    </row>
    <row r="51" customFormat="false" ht="19.7" hidden="false" customHeight="false" outlineLevel="0" collapsed="false">
      <c r="B51" s="5" t="s">
        <v>4</v>
      </c>
      <c r="C51" s="6" t="n">
        <v>300000</v>
      </c>
      <c r="D51" s="7"/>
      <c r="E51" s="6" t="n">
        <f aca="false">C51/7</f>
        <v>42857.1428571429</v>
      </c>
      <c r="G51" s="81"/>
    </row>
    <row r="52" customFormat="false" ht="19.7" hidden="false" customHeight="false" outlineLevel="0" collapsed="false">
      <c r="B52" s="21" t="s">
        <v>29</v>
      </c>
      <c r="C52" s="6" t="n">
        <v>30000</v>
      </c>
      <c r="D52" s="7"/>
      <c r="E52" s="6" t="n">
        <f aca="false">C52</f>
        <v>30000</v>
      </c>
      <c r="G52" s="81"/>
    </row>
    <row r="53" customFormat="false" ht="19.7" hidden="false" customHeight="false" outlineLevel="0" collapsed="false">
      <c r="B53" s="5" t="s">
        <v>94</v>
      </c>
      <c r="C53" s="6" t="n">
        <v>400000</v>
      </c>
      <c r="D53" s="7"/>
      <c r="E53" s="6" t="n">
        <f aca="false">C53</f>
        <v>400000</v>
      </c>
      <c r="G53" s="81"/>
    </row>
    <row r="54" customFormat="false" ht="19.7" hidden="false" customHeight="false" outlineLevel="0" collapsed="false">
      <c r="B54" s="5" t="s">
        <v>7</v>
      </c>
      <c r="C54" s="6" t="n">
        <v>0</v>
      </c>
      <c r="D54" s="7"/>
      <c r="E54" s="6" t="n">
        <f aca="false">C54</f>
        <v>0</v>
      </c>
      <c r="G54" s="81"/>
    </row>
    <row r="55" customFormat="false" ht="19.7" hidden="false" customHeight="false" outlineLevel="0" collapsed="false">
      <c r="B55" s="4" t="s">
        <v>8</v>
      </c>
      <c r="C55" s="3"/>
      <c r="E55" s="10" t="n">
        <f aca="false">E56*5%</f>
        <v>23571.4285714286</v>
      </c>
      <c r="H55" s="81"/>
    </row>
    <row r="56" customFormat="false" ht="19.7" hidden="false" customHeight="false" outlineLevel="0" collapsed="false">
      <c r="B56" s="4" t="s">
        <v>9</v>
      </c>
      <c r="C56" s="3"/>
      <c r="E56" s="11" t="n">
        <f aca="false">E50+E51+E53+E54</f>
        <v>471428.571428571</v>
      </c>
    </row>
    <row r="57" customFormat="false" ht="19.7" hidden="false" customHeight="false" outlineLevel="0" collapsed="false">
      <c r="B57" s="4" t="s">
        <v>19</v>
      </c>
      <c r="C57" s="3"/>
      <c r="E57" s="12" t="n">
        <f aca="false">E56+E55</f>
        <v>495000</v>
      </c>
    </row>
    <row r="58" customFormat="false" ht="19.7" hidden="false" customHeight="false" outlineLevel="0" collapsed="false">
      <c r="B58" s="4" t="s">
        <v>21</v>
      </c>
      <c r="C58" s="3"/>
      <c r="E58" s="12" t="n">
        <f aca="false">E57/3500</f>
        <v>141.428571428571</v>
      </c>
    </row>
    <row r="61" customFormat="false" ht="19.7" hidden="false" customHeight="false" outlineLevel="0" collapsed="false">
      <c r="B61" s="2" t="s">
        <v>95</v>
      </c>
      <c r="C61" s="3" t="n">
        <v>140</v>
      </c>
      <c r="E61" s="3"/>
    </row>
    <row r="62" customFormat="false" ht="19.7" hidden="false" customHeight="false" outlineLevel="0" collapsed="false">
      <c r="B62" s="4"/>
      <c r="C62" s="3"/>
      <c r="E62" s="4" t="s">
        <v>2</v>
      </c>
    </row>
    <row r="63" customFormat="false" ht="19.7" hidden="false" customHeight="false" outlineLevel="0" collapsed="false">
      <c r="B63" s="5" t="s">
        <v>28</v>
      </c>
      <c r="C63" s="6" t="n">
        <v>200000</v>
      </c>
      <c r="D63" s="7"/>
      <c r="E63" s="6" t="n">
        <f aca="false">C63/18</f>
        <v>11111.1111111111</v>
      </c>
    </row>
    <row r="64" customFormat="false" ht="19.7" hidden="false" customHeight="false" outlineLevel="0" collapsed="false">
      <c r="B64" s="5" t="s">
        <v>4</v>
      </c>
      <c r="C64" s="6" t="n">
        <v>300000</v>
      </c>
      <c r="D64" s="7"/>
      <c r="E64" s="6" t="n">
        <f aca="false">C64/18</f>
        <v>16666.6666666667</v>
      </c>
    </row>
    <row r="65" customFormat="false" ht="19.7" hidden="false" customHeight="false" outlineLevel="0" collapsed="false">
      <c r="B65" s="21" t="s">
        <v>29</v>
      </c>
      <c r="C65" s="6" t="n">
        <v>30000</v>
      </c>
      <c r="D65" s="7"/>
      <c r="E65" s="6" t="n">
        <f aca="false">C65</f>
        <v>30000</v>
      </c>
    </row>
    <row r="66" customFormat="false" ht="19.7" hidden="false" customHeight="false" outlineLevel="0" collapsed="false">
      <c r="B66" s="5" t="s">
        <v>94</v>
      </c>
      <c r="C66" s="6" t="n">
        <v>450000</v>
      </c>
      <c r="D66" s="7"/>
      <c r="E66" s="6" t="n">
        <f aca="false">C66</f>
        <v>450000</v>
      </c>
    </row>
    <row r="67" customFormat="false" ht="19.7" hidden="false" customHeight="false" outlineLevel="0" collapsed="false">
      <c r="B67" s="5" t="s">
        <v>7</v>
      </c>
      <c r="C67" s="6" t="n">
        <v>0</v>
      </c>
      <c r="D67" s="7"/>
      <c r="E67" s="6" t="n">
        <f aca="false">C67</f>
        <v>0</v>
      </c>
    </row>
    <row r="68" customFormat="false" ht="19.7" hidden="false" customHeight="false" outlineLevel="0" collapsed="false">
      <c r="B68" s="4" t="s">
        <v>8</v>
      </c>
      <c r="C68" s="3"/>
      <c r="E68" s="10" t="n">
        <f aca="false">E69*5%</f>
        <v>23888.8888888889</v>
      </c>
    </row>
    <row r="69" customFormat="false" ht="19.7" hidden="false" customHeight="false" outlineLevel="0" collapsed="false">
      <c r="B69" s="4" t="s">
        <v>9</v>
      </c>
      <c r="C69" s="3"/>
      <c r="E69" s="11" t="n">
        <f aca="false">E63+E64+E66+E67</f>
        <v>477777.777777778</v>
      </c>
    </row>
    <row r="70" customFormat="false" ht="19.7" hidden="false" customHeight="false" outlineLevel="0" collapsed="false">
      <c r="B70" s="4" t="s">
        <v>19</v>
      </c>
      <c r="C70" s="3"/>
      <c r="E70" s="12" t="n">
        <f aca="false">E69+E68</f>
        <v>501666.666666667</v>
      </c>
    </row>
    <row r="71" customFormat="false" ht="19.7" hidden="false" customHeight="false" outlineLevel="0" collapsed="false">
      <c r="B71" s="4" t="s">
        <v>21</v>
      </c>
      <c r="C71" s="3"/>
      <c r="E71" s="12" t="n">
        <f aca="false">E70/3500</f>
        <v>143.333333333333</v>
      </c>
    </row>
    <row r="74" customFormat="false" ht="19.7" hidden="false" customHeight="false" outlineLevel="0" collapsed="false">
      <c r="B74" s="2" t="s">
        <v>96</v>
      </c>
      <c r="C74" s="3" t="n">
        <v>140</v>
      </c>
      <c r="E74" s="3"/>
    </row>
    <row r="75" customFormat="false" ht="19.7" hidden="false" customHeight="false" outlineLevel="0" collapsed="false">
      <c r="B75" s="4"/>
      <c r="C75" s="3"/>
      <c r="E75" s="4" t="s">
        <v>2</v>
      </c>
    </row>
    <row r="76" customFormat="false" ht="19.7" hidden="false" customHeight="false" outlineLevel="0" collapsed="false">
      <c r="B76" s="5" t="s">
        <v>28</v>
      </c>
      <c r="C76" s="6" t="n">
        <v>200000</v>
      </c>
      <c r="D76" s="7"/>
      <c r="E76" s="6" t="n">
        <f aca="false">C76/7</f>
        <v>28571.4285714286</v>
      </c>
    </row>
    <row r="77" customFormat="false" ht="19.7" hidden="false" customHeight="false" outlineLevel="0" collapsed="false">
      <c r="B77" s="5" t="s">
        <v>4</v>
      </c>
      <c r="C77" s="6" t="n">
        <v>300000</v>
      </c>
      <c r="D77" s="7"/>
      <c r="E77" s="6" t="n">
        <f aca="false">C77/7</f>
        <v>42857.1428571429</v>
      </c>
    </row>
    <row r="78" customFormat="false" ht="19.7" hidden="false" customHeight="false" outlineLevel="0" collapsed="false">
      <c r="B78" s="21" t="s">
        <v>29</v>
      </c>
      <c r="C78" s="6" t="n">
        <v>30000</v>
      </c>
      <c r="D78" s="7"/>
      <c r="E78" s="6" t="n">
        <f aca="false">C78</f>
        <v>30000</v>
      </c>
    </row>
    <row r="79" customFormat="false" ht="19.7" hidden="false" customHeight="false" outlineLevel="0" collapsed="false">
      <c r="B79" s="5" t="s">
        <v>97</v>
      </c>
      <c r="C79" s="6" t="n">
        <v>460000</v>
      </c>
      <c r="D79" s="7"/>
      <c r="E79" s="6" t="n">
        <f aca="false">C79</f>
        <v>460000</v>
      </c>
    </row>
    <row r="80" customFormat="false" ht="19.7" hidden="false" customHeight="false" outlineLevel="0" collapsed="false">
      <c r="B80" s="5" t="s">
        <v>7</v>
      </c>
      <c r="C80" s="6" t="n">
        <v>0</v>
      </c>
      <c r="D80" s="7"/>
      <c r="E80" s="6" t="n">
        <f aca="false">C80</f>
        <v>0</v>
      </c>
    </row>
    <row r="81" customFormat="false" ht="19.7" hidden="false" customHeight="false" outlineLevel="0" collapsed="false">
      <c r="B81" s="4" t="s">
        <v>8</v>
      </c>
      <c r="C81" s="3"/>
      <c r="E81" s="10" t="n">
        <f aca="false">E82*5%</f>
        <v>26571.4285714286</v>
      </c>
    </row>
    <row r="82" customFormat="false" ht="19.7" hidden="false" customHeight="false" outlineLevel="0" collapsed="false">
      <c r="B82" s="4" t="s">
        <v>9</v>
      </c>
      <c r="C82" s="3"/>
      <c r="E82" s="11" t="n">
        <f aca="false">E76+E77+E79+E80</f>
        <v>531428.571428571</v>
      </c>
    </row>
    <row r="83" customFormat="false" ht="19.7" hidden="false" customHeight="false" outlineLevel="0" collapsed="false">
      <c r="B83" s="4" t="s">
        <v>19</v>
      </c>
      <c r="C83" s="3"/>
      <c r="E83" s="12" t="n">
        <f aca="false">E82+E81</f>
        <v>558000</v>
      </c>
    </row>
    <row r="84" customFormat="false" ht="19.7" hidden="false" customHeight="false" outlineLevel="0" collapsed="false">
      <c r="B84" s="4" t="s">
        <v>21</v>
      </c>
      <c r="C84" s="3"/>
      <c r="E84" s="12" t="n">
        <f aca="false">E83/3500</f>
        <v>159.428571428571</v>
      </c>
    </row>
    <row r="87" customFormat="false" ht="19.7" hidden="false" customHeight="false" outlineLevel="0" collapsed="false">
      <c r="B87" s="2" t="s">
        <v>76</v>
      </c>
      <c r="C87" s="3" t="n">
        <v>140</v>
      </c>
      <c r="E87" s="3"/>
    </row>
    <row r="88" customFormat="false" ht="19.7" hidden="false" customHeight="false" outlineLevel="0" collapsed="false">
      <c r="B88" s="4"/>
      <c r="C88" s="3"/>
      <c r="E88" s="4" t="s">
        <v>2</v>
      </c>
    </row>
    <row r="89" customFormat="false" ht="19.7" hidden="false" customHeight="false" outlineLevel="0" collapsed="false">
      <c r="B89" s="5" t="s">
        <v>98</v>
      </c>
      <c r="C89" s="6" t="n">
        <v>20000</v>
      </c>
      <c r="D89" s="7"/>
      <c r="E89" s="6" t="n">
        <f aca="false">C89</f>
        <v>20000</v>
      </c>
    </row>
    <row r="90" customFormat="false" ht="19.7" hidden="false" customHeight="false" outlineLevel="0" collapsed="false">
      <c r="B90" s="5" t="s">
        <v>4</v>
      </c>
      <c r="C90" s="6" t="n">
        <v>300000</v>
      </c>
      <c r="D90" s="7"/>
      <c r="E90" s="6" t="n">
        <f aca="false">C90/7</f>
        <v>42857.1428571429</v>
      </c>
    </row>
    <row r="91" customFormat="false" ht="19.7" hidden="false" customHeight="false" outlineLevel="0" collapsed="false">
      <c r="B91" s="5" t="s">
        <v>7</v>
      </c>
      <c r="C91" s="6" t="n">
        <v>40000</v>
      </c>
      <c r="D91" s="7"/>
      <c r="E91" s="6" t="n">
        <f aca="false">C91</f>
        <v>40000</v>
      </c>
    </row>
    <row r="92" customFormat="false" ht="19.7" hidden="false" customHeight="false" outlineLevel="0" collapsed="false">
      <c r="B92" s="4" t="s">
        <v>8</v>
      </c>
      <c r="C92" s="3"/>
      <c r="E92" s="10" t="n">
        <f aca="false">E93*5%</f>
        <v>5142.85714285714</v>
      </c>
    </row>
    <row r="93" customFormat="false" ht="19.7" hidden="false" customHeight="false" outlineLevel="0" collapsed="false">
      <c r="B93" s="4" t="s">
        <v>9</v>
      </c>
      <c r="C93" s="3"/>
      <c r="E93" s="11" t="n">
        <f aca="false">E89+E90+E91</f>
        <v>102857.142857143</v>
      </c>
    </row>
    <row r="94" customFormat="false" ht="19.7" hidden="false" customHeight="false" outlineLevel="0" collapsed="false">
      <c r="B94" s="4" t="s">
        <v>19</v>
      </c>
      <c r="C94" s="3"/>
      <c r="E94" s="12" t="n">
        <f aca="false">E93+E92</f>
        <v>108000</v>
      </c>
    </row>
    <row r="95" customFormat="false" ht="19.7" hidden="false" customHeight="false" outlineLevel="0" collapsed="false">
      <c r="B95" s="4" t="s">
        <v>21</v>
      </c>
      <c r="C95" s="3"/>
      <c r="E95" s="12" t="n">
        <f aca="false">E94/3500</f>
        <v>30.8571428571429</v>
      </c>
    </row>
    <row r="98" customFormat="false" ht="19.7" hidden="false" customHeight="false" outlineLevel="0" collapsed="false">
      <c r="B98" s="2" t="s">
        <v>99</v>
      </c>
      <c r="C98" s="3" t="n">
        <v>94</v>
      </c>
      <c r="E98" s="3"/>
    </row>
    <row r="99" customFormat="false" ht="19.7" hidden="false" customHeight="false" outlineLevel="0" collapsed="false">
      <c r="B99" s="4"/>
      <c r="C99" s="3"/>
      <c r="E99" s="4" t="s">
        <v>2</v>
      </c>
    </row>
    <row r="100" customFormat="false" ht="19.7" hidden="false" customHeight="false" outlineLevel="0" collapsed="false">
      <c r="B100" s="5" t="s">
        <v>2</v>
      </c>
      <c r="C100" s="6" t="n">
        <v>1000000</v>
      </c>
      <c r="D100" s="7"/>
      <c r="E100" s="6" t="n">
        <f aca="false">C100/7</f>
        <v>142857.142857143</v>
      </c>
    </row>
    <row r="101" customFormat="false" ht="19.7" hidden="false" customHeight="false" outlineLevel="0" collapsed="false">
      <c r="B101" s="5" t="s">
        <v>4</v>
      </c>
      <c r="C101" s="6" t="n">
        <v>400000</v>
      </c>
      <c r="D101" s="7"/>
      <c r="E101" s="6" t="n">
        <f aca="false">C101/7</f>
        <v>57142.8571428571</v>
      </c>
    </row>
    <row r="102" customFormat="false" ht="19.7" hidden="false" customHeight="false" outlineLevel="0" collapsed="false">
      <c r="B102" s="5" t="s">
        <v>100</v>
      </c>
      <c r="C102" s="6" t="n">
        <v>15000</v>
      </c>
      <c r="D102" s="7"/>
      <c r="E102" s="6" t="n">
        <f aca="false">C102</f>
        <v>15000</v>
      </c>
    </row>
    <row r="103" customFormat="false" ht="19.7" hidden="false" customHeight="false" outlineLevel="0" collapsed="false">
      <c r="B103" s="5" t="s">
        <v>24</v>
      </c>
      <c r="C103" s="6" t="n">
        <v>80000</v>
      </c>
      <c r="D103" s="7"/>
      <c r="E103" s="6" t="n">
        <f aca="false">C103</f>
        <v>80000</v>
      </c>
    </row>
    <row r="104" customFormat="false" ht="19.7" hidden="false" customHeight="false" outlineLevel="0" collapsed="false">
      <c r="B104" s="5" t="s">
        <v>101</v>
      </c>
      <c r="C104" s="6" t="n">
        <v>10000</v>
      </c>
      <c r="D104" s="7"/>
      <c r="E104" s="6" t="n">
        <f aca="false">C104</f>
        <v>10000</v>
      </c>
    </row>
    <row r="105" customFormat="false" ht="19.7" hidden="false" customHeight="false" outlineLevel="0" collapsed="false">
      <c r="B105" s="5" t="s">
        <v>102</v>
      </c>
      <c r="C105" s="6" t="n">
        <v>30000</v>
      </c>
      <c r="D105" s="7"/>
      <c r="E105" s="6" t="n">
        <f aca="false">C105</f>
        <v>30000</v>
      </c>
    </row>
    <row r="106" customFormat="false" ht="19.7" hidden="false" customHeight="false" outlineLevel="0" collapsed="false">
      <c r="B106" s="4" t="s">
        <v>8</v>
      </c>
      <c r="C106" s="3"/>
      <c r="E106" s="10" t="n">
        <f aca="false">E107*5%</f>
        <v>16750</v>
      </c>
    </row>
    <row r="107" customFormat="false" ht="19.7" hidden="false" customHeight="false" outlineLevel="0" collapsed="false">
      <c r="B107" s="4" t="s">
        <v>9</v>
      </c>
      <c r="C107" s="3"/>
      <c r="E107" s="11" t="n">
        <f aca="false">E100+E101+E103+E104+E105+E102</f>
        <v>335000</v>
      </c>
    </row>
    <row r="108" customFormat="false" ht="19.7" hidden="false" customHeight="false" outlineLevel="0" collapsed="false">
      <c r="B108" s="4" t="s">
        <v>19</v>
      </c>
      <c r="C108" s="3"/>
      <c r="E108" s="12" t="n">
        <f aca="false">E107+E106</f>
        <v>351750</v>
      </c>
    </row>
    <row r="109" customFormat="false" ht="19.7" hidden="false" customHeight="false" outlineLevel="0" collapsed="false">
      <c r="B109" s="4" t="s">
        <v>21</v>
      </c>
      <c r="C109" s="3"/>
      <c r="E109" s="12" t="n">
        <f aca="false">E108/3500</f>
        <v>100.5</v>
      </c>
    </row>
  </sheetData>
  <mergeCells count="4">
    <mergeCell ref="B2:E2"/>
    <mergeCell ref="B5:E5"/>
    <mergeCell ref="I5:J5"/>
    <mergeCell ref="I15:J1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6" activeCellId="0" sqref="I16"/>
    </sheetView>
  </sheetViews>
  <sheetFormatPr defaultColWidth="10.6015625" defaultRowHeight="14.25" customHeight="false" zeroHeight="false" outlineLevelRow="0" outlineLevelCol="0"/>
  <cols>
    <col collapsed="false" customWidth="true" hidden="false" outlineLevel="0" max="2" min="2" style="0" width="38.66"/>
    <col collapsed="false" customWidth="true" hidden="false" outlineLevel="0" max="3" min="3" style="0" width="20.11"/>
    <col collapsed="false" customWidth="true" hidden="false" outlineLevel="0" max="4" min="4" style="0" width="16.11"/>
    <col collapsed="false" customWidth="true" hidden="false" outlineLevel="0" max="5" min="5" style="0" width="30.66"/>
  </cols>
  <sheetData>
    <row r="2" customFormat="false" ht="14.25" hidden="false" customHeight="false" outlineLevel="0" collapsed="false">
      <c r="B2" s="0" t="s">
        <v>103</v>
      </c>
      <c r="C2" s="82" t="s">
        <v>104</v>
      </c>
    </row>
    <row r="3" customFormat="false" ht="14.25" hidden="false" customHeight="false" outlineLevel="0" collapsed="false">
      <c r="B3" s="83" t="s">
        <v>105</v>
      </c>
      <c r="C3" s="83"/>
      <c r="D3" s="83"/>
      <c r="E3" s="83"/>
      <c r="F3" s="83"/>
    </row>
    <row r="4" customFormat="false" ht="14.25" hidden="false" customHeight="false" outlineLevel="0" collapsed="false">
      <c r="B4" s="84" t="s">
        <v>106</v>
      </c>
      <c r="E4" s="0" t="s">
        <v>107</v>
      </c>
    </row>
    <row r="5" customFormat="false" ht="14.25" hidden="false" customHeight="false" outlineLevel="0" collapsed="false">
      <c r="B5" s="0" t="s">
        <v>108</v>
      </c>
      <c r="C5" s="82" t="s">
        <v>109</v>
      </c>
      <c r="D5" s="82"/>
      <c r="E5" s="0" t="s">
        <v>110</v>
      </c>
      <c r="F5" s="85" t="n">
        <v>800000</v>
      </c>
    </row>
    <row r="6" customFormat="false" ht="14.25" hidden="false" customHeight="false" outlineLevel="0" collapsed="false">
      <c r="B6" s="0" t="s">
        <v>111</v>
      </c>
      <c r="C6" s="82" t="s">
        <v>112</v>
      </c>
      <c r="D6" s="82"/>
      <c r="E6" s="0" t="s">
        <v>113</v>
      </c>
      <c r="F6" s="82" t="s">
        <v>114</v>
      </c>
    </row>
    <row r="7" customFormat="false" ht="14.25" hidden="false" customHeight="false" outlineLevel="0" collapsed="false">
      <c r="B7" s="0" t="s">
        <v>115</v>
      </c>
      <c r="C7" s="82" t="s">
        <v>116</v>
      </c>
      <c r="D7" s="82"/>
      <c r="E7" s="0" t="s">
        <v>117</v>
      </c>
      <c r="F7" s="82" t="s">
        <v>118</v>
      </c>
      <c r="I7" s="82"/>
    </row>
    <row r="8" customFormat="false" ht="14.25" hidden="false" customHeight="false" outlineLevel="0" collapsed="false">
      <c r="B8" s="0" t="s">
        <v>119</v>
      </c>
      <c r="C8" s="82" t="s">
        <v>120</v>
      </c>
      <c r="D8" s="82"/>
      <c r="E8" s="0" t="s">
        <v>121</v>
      </c>
      <c r="F8" s="82" t="s">
        <v>122</v>
      </c>
    </row>
    <row r="9" customFormat="false" ht="14.25" hidden="false" customHeight="false" outlineLevel="0" collapsed="false">
      <c r="B9" s="0" t="s">
        <v>123</v>
      </c>
      <c r="C9" s="82" t="s">
        <v>124</v>
      </c>
      <c r="D9" s="82"/>
      <c r="E9" s="0" t="s">
        <v>125</v>
      </c>
      <c r="F9" s="85" t="n">
        <v>900000</v>
      </c>
    </row>
    <row r="10" customFormat="false" ht="14.25" hidden="false" customHeight="false" outlineLevel="0" collapsed="false">
      <c r="B10" s="0" t="s">
        <v>121</v>
      </c>
      <c r="C10" s="82" t="s">
        <v>126</v>
      </c>
      <c r="D10" s="82"/>
      <c r="E10" s="0" t="s">
        <v>121</v>
      </c>
      <c r="F10" s="82" t="s">
        <v>122</v>
      </c>
    </row>
    <row r="14" customFormat="false" ht="14.25" hidden="false" customHeight="false" outlineLevel="0" collapsed="false">
      <c r="B14" s="83" t="s">
        <v>127</v>
      </c>
      <c r="C14" s="83"/>
      <c r="D14" s="83"/>
      <c r="E14" s="83"/>
      <c r="F14" s="83"/>
    </row>
    <row r="16" customFormat="false" ht="14.25" hidden="false" customHeight="false" outlineLevel="0" collapsed="false">
      <c r="B16" s="84" t="s">
        <v>128</v>
      </c>
      <c r="C16" s="86" t="n">
        <v>3202044180</v>
      </c>
      <c r="E16" s="87" t="s">
        <v>129</v>
      </c>
    </row>
    <row r="18" customFormat="false" ht="14.25" hidden="false" customHeight="false" outlineLevel="0" collapsed="false">
      <c r="B18" s="0" t="s">
        <v>130</v>
      </c>
      <c r="C18" s="88" t="n">
        <v>950000</v>
      </c>
      <c r="E18" s="0" t="s">
        <v>130</v>
      </c>
    </row>
    <row r="19" customFormat="false" ht="14.25" hidden="false" customHeight="false" outlineLevel="0" collapsed="false">
      <c r="B19" s="0" t="s">
        <v>131</v>
      </c>
      <c r="C19" s="88" t="n">
        <v>1400000</v>
      </c>
      <c r="E19" s="0" t="s">
        <v>131</v>
      </c>
    </row>
    <row r="20" customFormat="false" ht="14.25" hidden="false" customHeight="false" outlineLevel="0" collapsed="false">
      <c r="B20" s="0" t="s">
        <v>132</v>
      </c>
      <c r="C20" s="88" t="n">
        <v>1400000</v>
      </c>
      <c r="E20" s="0" t="s">
        <v>132</v>
      </c>
    </row>
    <row r="21" customFormat="false" ht="14.25" hidden="false" customHeight="false" outlineLevel="0" collapsed="false">
      <c r="B21" s="0" t="s">
        <v>133</v>
      </c>
      <c r="C21" s="88" t="n">
        <v>1700000</v>
      </c>
      <c r="E21" s="0" t="s">
        <v>133</v>
      </c>
    </row>
    <row r="22" customFormat="false" ht="14.25" hidden="false" customHeight="false" outlineLevel="0" collapsed="false">
      <c r="B22" s="0" t="s">
        <v>134</v>
      </c>
      <c r="C22" s="88" t="n">
        <v>1100000</v>
      </c>
      <c r="E22" s="0" t="s">
        <v>134</v>
      </c>
    </row>
    <row r="23" customFormat="false" ht="14.25" hidden="false" customHeight="false" outlineLevel="0" collapsed="false">
      <c r="B23" s="0" t="s">
        <v>135</v>
      </c>
      <c r="C23" s="88" t="n">
        <v>1600000</v>
      </c>
      <c r="E23" s="0" t="s">
        <v>135</v>
      </c>
    </row>
    <row r="24" customFormat="false" ht="14.25" hidden="false" customHeight="false" outlineLevel="0" collapsed="false">
      <c r="B24" s="0" t="s">
        <v>136</v>
      </c>
      <c r="C24" s="88" t="n">
        <v>780000</v>
      </c>
      <c r="E24" s="0" t="s">
        <v>137</v>
      </c>
      <c r="F24" s="0" t="n">
        <v>200000</v>
      </c>
    </row>
    <row r="25" customFormat="false" ht="14.25" hidden="false" customHeight="false" outlineLevel="0" collapsed="false">
      <c r="B25" s="0" t="s">
        <v>137</v>
      </c>
      <c r="C25" s="88" t="n">
        <v>290000</v>
      </c>
      <c r="E25" s="0" t="s">
        <v>138</v>
      </c>
      <c r="F25" s="0" t="n">
        <v>65000</v>
      </c>
    </row>
    <row r="26" customFormat="false" ht="14.25" hidden="false" customHeight="false" outlineLevel="0" collapsed="false">
      <c r="B26" s="0" t="s">
        <v>139</v>
      </c>
      <c r="C26" s="88" t="n">
        <v>80000</v>
      </c>
      <c r="E26" s="0" t="s">
        <v>136</v>
      </c>
      <c r="F26" s="0" t="n">
        <v>600000</v>
      </c>
    </row>
  </sheetData>
  <mergeCells count="2">
    <mergeCell ref="B3:F3"/>
    <mergeCell ref="B14:F1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 activeCellId="0" sqref="G3"/>
    </sheetView>
  </sheetViews>
  <sheetFormatPr defaultColWidth="10.6015625" defaultRowHeight="14.25" customHeight="false" zeroHeight="false" outlineLevelRow="0" outlineLevelCol="0"/>
  <cols>
    <col collapsed="false" customWidth="true" hidden="false" outlineLevel="0" max="2" min="2" style="0" width="45.33"/>
    <col collapsed="false" customWidth="true" hidden="false" outlineLevel="0" max="3" min="3" style="0" width="15.78"/>
    <col collapsed="false" customWidth="true" hidden="false" outlineLevel="0" max="5" min="5" style="0" width="13.44"/>
    <col collapsed="false" customWidth="true" hidden="false" outlineLevel="0" max="9" min="9" style="0" width="42.55"/>
    <col collapsed="false" customWidth="true" hidden="false" outlineLevel="0" max="11" min="11" style="0" width="13.11"/>
  </cols>
  <sheetData>
    <row r="1" customFormat="false" ht="29.15" hidden="false" customHeight="false" outlineLevel="0" collapsed="false">
      <c r="B1" s="89" t="s">
        <v>140</v>
      </c>
      <c r="C1" s="89"/>
      <c r="D1" s="89"/>
      <c r="E1" s="89"/>
    </row>
    <row r="2" customFormat="false" ht="17.35" hidden="false" customHeight="false" outlineLevel="0" collapsed="false">
      <c r="B2" s="65" t="s">
        <v>141</v>
      </c>
      <c r="C2" s="65"/>
      <c r="D2" s="65"/>
      <c r="E2" s="65"/>
    </row>
    <row r="3" customFormat="false" ht="14.25" hidden="false" customHeight="false" outlineLevel="0" collapsed="false">
      <c r="I3" s="90" t="s">
        <v>142</v>
      </c>
      <c r="J3" s="90" t="s">
        <v>143</v>
      </c>
      <c r="K3" s="91" t="s">
        <v>144</v>
      </c>
    </row>
    <row r="4" customFormat="false" ht="19.7" hidden="false" customHeight="false" outlineLevel="0" collapsed="false">
      <c r="B4" s="2" t="s">
        <v>145</v>
      </c>
      <c r="C4" s="3"/>
      <c r="E4" s="3"/>
      <c r="I4" s="92" t="s">
        <v>145</v>
      </c>
      <c r="J4" s="93" t="n">
        <v>20</v>
      </c>
      <c r="K4" s="94" t="n">
        <f aca="false">J4*3700</f>
        <v>74000</v>
      </c>
    </row>
    <row r="5" customFormat="false" ht="19.7" hidden="false" customHeight="false" outlineLevel="0" collapsed="false">
      <c r="B5" s="4"/>
      <c r="C5" s="3"/>
      <c r="E5" s="4" t="s">
        <v>2</v>
      </c>
      <c r="I5" s="92" t="s">
        <v>146</v>
      </c>
      <c r="J5" s="93" t="n">
        <v>75</v>
      </c>
      <c r="K5" s="94" t="n">
        <f aca="false">J5*3700</f>
        <v>277500</v>
      </c>
    </row>
    <row r="6" customFormat="false" ht="19.7" hidden="false" customHeight="false" outlineLevel="0" collapsed="false">
      <c r="B6" s="5" t="s">
        <v>2</v>
      </c>
      <c r="C6" s="6" t="n">
        <v>500000</v>
      </c>
      <c r="D6" s="7"/>
      <c r="E6" s="6" t="n">
        <f aca="false">C6/20</f>
        <v>25000</v>
      </c>
      <c r="I6" s="92" t="s">
        <v>27</v>
      </c>
      <c r="J6" s="93" t="n">
        <v>60</v>
      </c>
      <c r="K6" s="94" t="n">
        <f aca="false">J6*3700</f>
        <v>222000</v>
      </c>
    </row>
    <row r="7" customFormat="false" ht="19.7" hidden="false" customHeight="false" outlineLevel="0" collapsed="false">
      <c r="B7" s="5" t="s">
        <v>4</v>
      </c>
      <c r="C7" s="6" t="n">
        <v>300000</v>
      </c>
      <c r="D7" s="7"/>
      <c r="E7" s="6" t="n">
        <f aca="false">C7/20</f>
        <v>15000</v>
      </c>
      <c r="I7" s="92" t="s">
        <v>147</v>
      </c>
      <c r="J7" s="93" t="n">
        <v>12</v>
      </c>
      <c r="K7" s="94" t="n">
        <f aca="false">J7*3700</f>
        <v>44400</v>
      </c>
    </row>
    <row r="8" customFormat="false" ht="19.7" hidden="false" customHeight="false" outlineLevel="0" collapsed="false">
      <c r="B8" s="21" t="s">
        <v>22</v>
      </c>
      <c r="C8" s="6" t="n">
        <v>100000</v>
      </c>
      <c r="D8" s="7"/>
      <c r="E8" s="6" t="n">
        <f aca="false">C8/20</f>
        <v>5000</v>
      </c>
      <c r="J8" s="81" t="n">
        <f aca="false">SUM(J4:J7)</f>
        <v>167</v>
      </c>
      <c r="K8" s="81" t="n">
        <f aca="false">SUM(K4:K7)</f>
        <v>617900</v>
      </c>
    </row>
    <row r="9" customFormat="false" ht="19.7" hidden="false" customHeight="false" outlineLevel="0" collapsed="false">
      <c r="B9" s="5" t="s">
        <v>23</v>
      </c>
      <c r="C9" s="6" t="n">
        <v>0</v>
      </c>
      <c r="D9" s="7"/>
      <c r="E9" s="6" t="n">
        <f aca="false">C9</f>
        <v>0</v>
      </c>
    </row>
    <row r="10" customFormat="false" ht="19.7" hidden="false" customHeight="false" outlineLevel="0" collapsed="false">
      <c r="B10" s="5" t="s">
        <v>24</v>
      </c>
      <c r="C10" s="6" t="n">
        <v>0</v>
      </c>
      <c r="D10" s="7"/>
      <c r="E10" s="6" t="n">
        <f aca="false">C10</f>
        <v>0</v>
      </c>
      <c r="I10" s="90" t="s">
        <v>142</v>
      </c>
      <c r="J10" s="90" t="s">
        <v>143</v>
      </c>
    </row>
    <row r="11" customFormat="false" ht="19.7" hidden="false" customHeight="false" outlineLevel="0" collapsed="false">
      <c r="B11" s="5" t="s">
        <v>25</v>
      </c>
      <c r="C11" s="6" t="n">
        <v>0</v>
      </c>
      <c r="D11" s="7"/>
      <c r="E11" s="6" t="n">
        <f aca="false">C11</f>
        <v>0</v>
      </c>
      <c r="I11" s="92" t="s">
        <v>145</v>
      </c>
      <c r="J11" s="93" t="n">
        <v>20</v>
      </c>
      <c r="K11" s="0" t="n">
        <v>25</v>
      </c>
    </row>
    <row r="12" customFormat="false" ht="19.7" hidden="false" customHeight="false" outlineLevel="0" collapsed="false">
      <c r="B12" s="5" t="s">
        <v>90</v>
      </c>
      <c r="C12" s="6" t="n">
        <v>10000</v>
      </c>
      <c r="D12" s="7"/>
      <c r="E12" s="6" t="n">
        <f aca="false">C12</f>
        <v>10000</v>
      </c>
      <c r="I12" s="92" t="s">
        <v>146</v>
      </c>
      <c r="J12" s="93" t="n">
        <v>75</v>
      </c>
      <c r="K12" s="0" t="n">
        <v>80</v>
      </c>
    </row>
    <row r="13" customFormat="false" ht="19.7" hidden="false" customHeight="false" outlineLevel="0" collapsed="false">
      <c r="B13" s="4" t="s">
        <v>8</v>
      </c>
      <c r="C13" s="3"/>
      <c r="E13" s="10" t="n">
        <f aca="false">E14*15%</f>
        <v>8250</v>
      </c>
      <c r="I13" s="92" t="s">
        <v>27</v>
      </c>
      <c r="J13" s="93" t="n">
        <v>60</v>
      </c>
    </row>
    <row r="14" customFormat="false" ht="19.7" hidden="false" customHeight="false" outlineLevel="0" collapsed="false">
      <c r="B14" s="4" t="s">
        <v>9</v>
      </c>
      <c r="C14" s="3"/>
      <c r="E14" s="11" t="n">
        <f aca="false">E6+E7+E10+E9+E11+E12+E8</f>
        <v>55000</v>
      </c>
      <c r="I14" s="92" t="s">
        <v>147</v>
      </c>
      <c r="J14" s="93" t="n">
        <v>12</v>
      </c>
    </row>
    <row r="15" customFormat="false" ht="19.7" hidden="false" customHeight="false" outlineLevel="0" collapsed="false">
      <c r="B15" s="4" t="s">
        <v>19</v>
      </c>
      <c r="C15" s="3"/>
      <c r="E15" s="12" t="n">
        <f aca="false">E14+E13</f>
        <v>63250</v>
      </c>
    </row>
    <row r="16" customFormat="false" ht="19.7" hidden="false" customHeight="false" outlineLevel="0" collapsed="false">
      <c r="B16" s="4" t="s">
        <v>21</v>
      </c>
      <c r="C16" s="3"/>
      <c r="E16" s="12" t="n">
        <f aca="false">E15/3500</f>
        <v>18.0714285714286</v>
      </c>
    </row>
    <row r="18" customFormat="false" ht="19.7" hidden="false" customHeight="false" outlineLevel="0" collapsed="false">
      <c r="B18" s="2" t="s">
        <v>146</v>
      </c>
      <c r="C18" s="3"/>
      <c r="E18" s="3"/>
    </row>
    <row r="19" customFormat="false" ht="19.7" hidden="false" customHeight="false" outlineLevel="0" collapsed="false">
      <c r="B19" s="4"/>
      <c r="C19" s="3"/>
      <c r="E19" s="4" t="s">
        <v>2</v>
      </c>
    </row>
    <row r="20" customFormat="false" ht="19.7" hidden="false" customHeight="false" outlineLevel="0" collapsed="false">
      <c r="B20" s="5" t="s">
        <v>148</v>
      </c>
      <c r="C20" s="6" t="n">
        <v>2200000</v>
      </c>
      <c r="D20" s="7"/>
      <c r="E20" s="6" t="n">
        <f aca="false">C20/20</f>
        <v>110000</v>
      </c>
    </row>
    <row r="21" customFormat="false" ht="19.7" hidden="false" customHeight="false" outlineLevel="0" collapsed="false">
      <c r="B21" s="5" t="s">
        <v>4</v>
      </c>
      <c r="C21" s="6" t="n">
        <v>450000</v>
      </c>
      <c r="D21" s="7"/>
      <c r="E21" s="6" t="n">
        <f aca="false">C21/20</f>
        <v>22500</v>
      </c>
    </row>
    <row r="22" customFormat="false" ht="19.7" hidden="false" customHeight="false" outlineLevel="0" collapsed="false">
      <c r="B22" s="21" t="s">
        <v>149</v>
      </c>
      <c r="C22" s="6" t="n">
        <v>27000</v>
      </c>
      <c r="D22" s="7"/>
      <c r="E22" s="6" t="n">
        <f aca="false">C22</f>
        <v>27000</v>
      </c>
    </row>
    <row r="23" customFormat="false" ht="19.7" hidden="false" customHeight="false" outlineLevel="0" collapsed="false">
      <c r="B23" s="5" t="s">
        <v>6</v>
      </c>
      <c r="C23" s="6" t="n">
        <v>40000</v>
      </c>
      <c r="D23" s="7"/>
      <c r="E23" s="6" t="n">
        <f aca="false">C23</f>
        <v>40000</v>
      </c>
    </row>
    <row r="24" customFormat="false" ht="19.7" hidden="false" customHeight="false" outlineLevel="0" collapsed="false">
      <c r="B24" s="5" t="s">
        <v>7</v>
      </c>
      <c r="C24" s="6" t="n">
        <v>20000</v>
      </c>
      <c r="D24" s="7"/>
      <c r="E24" s="6" t="n">
        <f aca="false">C24</f>
        <v>20000</v>
      </c>
    </row>
    <row r="25" customFormat="false" ht="19.7" hidden="false" customHeight="false" outlineLevel="0" collapsed="false">
      <c r="B25" s="4" t="s">
        <v>8</v>
      </c>
      <c r="C25" s="3"/>
      <c r="E25" s="10" t="n">
        <f aca="false">E26*10%</f>
        <v>21950</v>
      </c>
    </row>
    <row r="26" customFormat="false" ht="19.7" hidden="false" customHeight="false" outlineLevel="0" collapsed="false">
      <c r="B26" s="4" t="s">
        <v>9</v>
      </c>
      <c r="C26" s="3"/>
      <c r="E26" s="11" t="n">
        <f aca="false">E20+E21+E23+E24+E22</f>
        <v>219500</v>
      </c>
    </row>
    <row r="27" customFormat="false" ht="19.7" hidden="false" customHeight="false" outlineLevel="0" collapsed="false">
      <c r="B27" s="4" t="s">
        <v>19</v>
      </c>
      <c r="C27" s="3"/>
      <c r="E27" s="12" t="n">
        <f aca="false">E26+E25</f>
        <v>241450</v>
      </c>
    </row>
    <row r="28" customFormat="false" ht="19.7" hidden="false" customHeight="false" outlineLevel="0" collapsed="false">
      <c r="B28" s="4" t="s">
        <v>21</v>
      </c>
      <c r="C28" s="3"/>
      <c r="E28" s="12" t="n">
        <f aca="false">E27/3500</f>
        <v>68.9857142857143</v>
      </c>
    </row>
    <row r="33" customFormat="false" ht="19.7" hidden="false" customHeight="false" outlineLevel="0" collapsed="false">
      <c r="B33" s="13" t="s">
        <v>11</v>
      </c>
      <c r="C33" s="14" t="n">
        <v>20</v>
      </c>
      <c r="E33" s="3"/>
    </row>
    <row r="34" customFormat="false" ht="19.7" hidden="false" customHeight="false" outlineLevel="0" collapsed="false">
      <c r="B34" s="4"/>
      <c r="C34" s="3"/>
      <c r="E34" s="4" t="s">
        <v>2</v>
      </c>
    </row>
    <row r="35" customFormat="false" ht="19.7" hidden="false" customHeight="false" outlineLevel="0" collapsed="false">
      <c r="B35" s="5" t="s">
        <v>2</v>
      </c>
      <c r="C35" s="6" t="n">
        <f aca="false">250000</f>
        <v>250000</v>
      </c>
      <c r="E35" s="6" t="n">
        <f aca="false">C35/20</f>
        <v>12500</v>
      </c>
    </row>
    <row r="36" customFormat="false" ht="19.7" hidden="false" customHeight="false" outlineLevel="0" collapsed="false">
      <c r="B36" s="5" t="s">
        <v>7</v>
      </c>
      <c r="C36" s="6" t="n">
        <v>10000</v>
      </c>
      <c r="E36" s="6" t="n">
        <f aca="false">C36</f>
        <v>10000</v>
      </c>
    </row>
    <row r="37" customFormat="false" ht="19.7" hidden="false" customHeight="false" outlineLevel="0" collapsed="false">
      <c r="B37" s="5" t="s">
        <v>4</v>
      </c>
      <c r="C37" s="6" t="n">
        <v>200000</v>
      </c>
      <c r="E37" s="6" t="n">
        <f aca="false">C37/20</f>
        <v>10000</v>
      </c>
    </row>
    <row r="38" customFormat="false" ht="19.7" hidden="false" customHeight="false" outlineLevel="0" collapsed="false">
      <c r="B38" s="4" t="s">
        <v>8</v>
      </c>
      <c r="C38" s="3"/>
      <c r="E38" s="10" t="n">
        <f aca="false">E39*10%</f>
        <v>3250</v>
      </c>
    </row>
    <row r="39" customFormat="false" ht="19.7" hidden="false" customHeight="false" outlineLevel="0" collapsed="false">
      <c r="B39" s="4" t="s">
        <v>9</v>
      </c>
      <c r="C39" s="3"/>
      <c r="E39" s="11" t="n">
        <f aca="false">E35+E36+E37</f>
        <v>32500</v>
      </c>
    </row>
    <row r="40" customFormat="false" ht="19.7" hidden="false" customHeight="false" outlineLevel="0" collapsed="false">
      <c r="B40" s="4" t="s">
        <v>19</v>
      </c>
      <c r="C40" s="3"/>
      <c r="E40" s="12" t="n">
        <f aca="false">E39+E38</f>
        <v>35750</v>
      </c>
    </row>
    <row r="41" customFormat="false" ht="19.7" hidden="false" customHeight="false" outlineLevel="0" collapsed="false">
      <c r="B41" s="4" t="s">
        <v>21</v>
      </c>
      <c r="C41" s="3"/>
      <c r="E41" s="22" t="n">
        <f aca="false">E40/3500</f>
        <v>10.2142857142857</v>
      </c>
    </row>
    <row r="42" customFormat="false" ht="14.25" hidden="false" customHeight="false" outlineLevel="0" collapsed="false">
      <c r="H42" s="0" t="n">
        <f aca="false">15000/3500</f>
        <v>4.28571428571429</v>
      </c>
    </row>
    <row r="44" customFormat="false" ht="19.7" hidden="false" customHeight="false" outlineLevel="0" collapsed="false">
      <c r="B44" s="2" t="s">
        <v>27</v>
      </c>
      <c r="C44" s="3"/>
      <c r="E44" s="3"/>
    </row>
    <row r="45" customFormat="false" ht="19.7" hidden="false" customHeight="false" outlineLevel="0" collapsed="false">
      <c r="B45" s="4"/>
      <c r="C45" s="3"/>
      <c r="E45" s="4" t="s">
        <v>2</v>
      </c>
    </row>
    <row r="46" customFormat="false" ht="19.7" hidden="false" customHeight="false" outlineLevel="0" collapsed="false">
      <c r="B46" s="5" t="s">
        <v>28</v>
      </c>
      <c r="C46" s="6" t="n">
        <v>0</v>
      </c>
      <c r="D46" s="7"/>
      <c r="E46" s="6" t="n">
        <f aca="false">C46/18</f>
        <v>0</v>
      </c>
    </row>
    <row r="47" customFormat="false" ht="19.7" hidden="false" customHeight="false" outlineLevel="0" collapsed="false">
      <c r="B47" s="5" t="s">
        <v>4</v>
      </c>
      <c r="C47" s="6" t="n">
        <v>300000</v>
      </c>
      <c r="D47" s="7"/>
      <c r="E47" s="6" t="n">
        <f aca="false">C47/20</f>
        <v>15000</v>
      </c>
    </row>
    <row r="48" customFormat="false" ht="19.7" hidden="false" customHeight="false" outlineLevel="0" collapsed="false">
      <c r="B48" s="21" t="s">
        <v>29</v>
      </c>
      <c r="C48" s="6" t="n">
        <v>30000</v>
      </c>
      <c r="D48" s="7"/>
      <c r="E48" s="6" t="n">
        <f aca="false">C48</f>
        <v>30000</v>
      </c>
    </row>
    <row r="49" customFormat="false" ht="19.7" hidden="false" customHeight="false" outlineLevel="0" collapsed="false">
      <c r="B49" s="5" t="s">
        <v>94</v>
      </c>
      <c r="C49" s="6" t="n">
        <v>160000</v>
      </c>
      <c r="D49" s="7"/>
      <c r="E49" s="6" t="n">
        <f aca="false">C49</f>
        <v>160000</v>
      </c>
    </row>
    <row r="50" customFormat="false" ht="19.7" hidden="false" customHeight="false" outlineLevel="0" collapsed="false">
      <c r="B50" s="5" t="s">
        <v>7</v>
      </c>
      <c r="C50" s="6" t="n">
        <v>0</v>
      </c>
      <c r="D50" s="7"/>
      <c r="E50" s="6" t="n">
        <f aca="false">C50</f>
        <v>0</v>
      </c>
    </row>
    <row r="51" customFormat="false" ht="19.7" hidden="false" customHeight="false" outlineLevel="0" collapsed="false">
      <c r="B51" s="4" t="s">
        <v>8</v>
      </c>
      <c r="C51" s="3"/>
      <c r="E51" s="10" t="n">
        <f aca="false">E52*5%</f>
        <v>8750</v>
      </c>
    </row>
    <row r="52" customFormat="false" ht="19.7" hidden="false" customHeight="false" outlineLevel="0" collapsed="false">
      <c r="B52" s="4" t="s">
        <v>9</v>
      </c>
      <c r="C52" s="3"/>
      <c r="E52" s="11" t="n">
        <f aca="false">E46+E47+E49+E50</f>
        <v>175000</v>
      </c>
    </row>
    <row r="53" customFormat="false" ht="19.7" hidden="false" customHeight="false" outlineLevel="0" collapsed="false">
      <c r="B53" s="4" t="s">
        <v>19</v>
      </c>
      <c r="C53" s="3"/>
      <c r="E53" s="12" t="n">
        <f aca="false">E52+E51</f>
        <v>183750</v>
      </c>
    </row>
    <row r="54" customFormat="false" ht="19.7" hidden="false" customHeight="false" outlineLevel="0" collapsed="false">
      <c r="B54" s="4" t="s">
        <v>21</v>
      </c>
      <c r="C54" s="3"/>
      <c r="E54" s="12" t="n">
        <f aca="false">E53/3500</f>
        <v>52.5</v>
      </c>
    </row>
    <row r="57" customFormat="false" ht="21" hidden="false" customHeight="false" outlineLevel="0" collapsed="false">
      <c r="B57" s="2"/>
      <c r="C57" s="3"/>
      <c r="E57" s="3"/>
    </row>
    <row r="58" customFormat="false" ht="21" hidden="false" customHeight="false" outlineLevel="0" collapsed="false">
      <c r="B58" s="4"/>
      <c r="C58" s="3"/>
      <c r="E58" s="4"/>
    </row>
    <row r="59" customFormat="false" ht="21" hidden="false" customHeight="false" outlineLevel="0" collapsed="false">
      <c r="B59" s="4"/>
      <c r="C59" s="3"/>
      <c r="E59" s="3"/>
    </row>
    <row r="60" customFormat="false" ht="21" hidden="false" customHeight="false" outlineLevel="0" collapsed="false">
      <c r="B60" s="4"/>
      <c r="C60" s="3"/>
      <c r="E60" s="3"/>
    </row>
    <row r="61" customFormat="false" ht="21" hidden="false" customHeight="false" outlineLevel="0" collapsed="false">
      <c r="B61" s="78"/>
      <c r="C61" s="3"/>
      <c r="E61" s="3"/>
    </row>
    <row r="62" customFormat="false" ht="21" hidden="false" customHeight="false" outlineLevel="0" collapsed="false">
      <c r="B62" s="4"/>
      <c r="C62" s="3"/>
      <c r="E62" s="3"/>
    </row>
    <row r="63" customFormat="false" ht="21" hidden="false" customHeight="false" outlineLevel="0" collapsed="false">
      <c r="B63" s="4"/>
      <c r="C63" s="3"/>
      <c r="E63" s="3"/>
    </row>
    <row r="64" customFormat="false" ht="21" hidden="false" customHeight="false" outlineLevel="0" collapsed="false">
      <c r="B64" s="4"/>
      <c r="C64" s="3"/>
      <c r="E64" s="3"/>
    </row>
    <row r="65" customFormat="false" ht="21" hidden="false" customHeight="false" outlineLevel="0" collapsed="false">
      <c r="B65" s="4"/>
      <c r="C65" s="3"/>
      <c r="E65" s="95"/>
    </row>
    <row r="66" customFormat="false" ht="21" hidden="false" customHeight="false" outlineLevel="0" collapsed="false">
      <c r="B66" s="4"/>
      <c r="C66" s="3"/>
      <c r="E66" s="12"/>
    </row>
    <row r="67" customFormat="false" ht="21" hidden="false" customHeight="false" outlineLevel="0" collapsed="false">
      <c r="B67" s="4"/>
      <c r="C67" s="3"/>
      <c r="E67" s="12"/>
    </row>
    <row r="70" customFormat="false" ht="21" hidden="false" customHeight="false" outlineLevel="0" collapsed="false">
      <c r="B70" s="2"/>
      <c r="C70" s="3"/>
      <c r="E70" s="3"/>
    </row>
    <row r="71" customFormat="false" ht="21" hidden="false" customHeight="false" outlineLevel="0" collapsed="false">
      <c r="B71" s="4"/>
      <c r="C71" s="3"/>
      <c r="E71" s="4"/>
    </row>
    <row r="72" customFormat="false" ht="21" hidden="false" customHeight="false" outlineLevel="0" collapsed="false">
      <c r="B72" s="4"/>
      <c r="C72" s="3"/>
      <c r="E72" s="3"/>
    </row>
    <row r="73" customFormat="false" ht="21" hidden="false" customHeight="false" outlineLevel="0" collapsed="false">
      <c r="B73" s="4"/>
      <c r="C73" s="3"/>
      <c r="E73" s="3"/>
    </row>
    <row r="74" customFormat="false" ht="21" hidden="false" customHeight="false" outlineLevel="0" collapsed="false">
      <c r="B74" s="78"/>
      <c r="C74" s="3"/>
      <c r="E74" s="3"/>
    </row>
    <row r="75" customFormat="false" ht="21" hidden="false" customHeight="false" outlineLevel="0" collapsed="false">
      <c r="B75" s="4"/>
      <c r="C75" s="3"/>
      <c r="E75" s="3"/>
    </row>
    <row r="76" customFormat="false" ht="21" hidden="false" customHeight="false" outlineLevel="0" collapsed="false">
      <c r="B76" s="4"/>
      <c r="C76" s="3"/>
      <c r="E76" s="3"/>
    </row>
    <row r="77" customFormat="false" ht="21" hidden="false" customHeight="false" outlineLevel="0" collapsed="false">
      <c r="B77" s="4"/>
      <c r="C77" s="3"/>
      <c r="E77" s="3"/>
    </row>
    <row r="78" customFormat="false" ht="21" hidden="false" customHeight="false" outlineLevel="0" collapsed="false">
      <c r="B78" s="4"/>
      <c r="C78" s="3"/>
      <c r="E78" s="95"/>
    </row>
    <row r="79" customFormat="false" ht="21" hidden="false" customHeight="false" outlineLevel="0" collapsed="false">
      <c r="B79" s="4"/>
      <c r="C79" s="3"/>
      <c r="E79" s="12"/>
    </row>
    <row r="80" customFormat="false" ht="21" hidden="false" customHeight="false" outlineLevel="0" collapsed="false">
      <c r="B80" s="4"/>
      <c r="C80" s="3"/>
      <c r="E80" s="12"/>
    </row>
  </sheetData>
  <mergeCells count="2">
    <mergeCell ref="B1:E1"/>
    <mergeCell ref="B2:E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18"/>
  <sheetViews>
    <sheetView showFormulas="false" showGridLines="true" showRowColHeaders="true" showZeros="true" rightToLeft="false" tabSelected="false" showOutlineSymbols="true" defaultGridColor="true" view="normal" topLeftCell="A60" colorId="64" zoomScale="100" zoomScaleNormal="100" zoomScalePageLayoutView="100" workbookViewId="0">
      <selection pane="topLeft" activeCell="F5" activeCellId="0" sqref="F5"/>
    </sheetView>
  </sheetViews>
  <sheetFormatPr defaultColWidth="10.6015625" defaultRowHeight="14.25" customHeight="false" zeroHeight="false" outlineLevelRow="0" outlineLevelCol="0"/>
  <cols>
    <col collapsed="false" customWidth="true" hidden="false" outlineLevel="0" max="1" min="1" style="0" width="35.11"/>
    <col collapsed="false" customWidth="true" hidden="false" outlineLevel="0" max="2" min="2" style="0" width="16"/>
    <col collapsed="false" customWidth="true" hidden="false" outlineLevel="0" max="4" min="4" style="0" width="13.89"/>
    <col collapsed="false" customWidth="true" hidden="false" outlineLevel="0" max="6" min="6" style="0" width="31.78"/>
  </cols>
  <sheetData>
    <row r="2" customFormat="false" ht="19.7" hidden="false" customHeight="false" outlineLevel="0" collapsed="false">
      <c r="A2" s="96" t="s">
        <v>150</v>
      </c>
      <c r="B2" s="96"/>
      <c r="C2" s="96"/>
      <c r="D2" s="96"/>
    </row>
    <row r="3" customFormat="false" ht="14.25" hidden="false" customHeight="false" outlineLevel="0" collapsed="false">
      <c r="A3" s="0" t="s">
        <v>151</v>
      </c>
      <c r="B3" s="97" t="n">
        <v>0.455555555555556</v>
      </c>
    </row>
    <row r="4" customFormat="false" ht="14.25" hidden="false" customHeight="false" outlineLevel="0" collapsed="false">
      <c r="A4" s="0" t="s">
        <v>152</v>
      </c>
      <c r="B4" s="97" t="n">
        <v>0.384027777777778</v>
      </c>
    </row>
    <row r="5" customFormat="false" ht="22.05" hidden="false" customHeight="false" outlineLevel="0" collapsed="false">
      <c r="A5" s="2" t="s">
        <v>153</v>
      </c>
      <c r="B5" s="3"/>
      <c r="D5" s="4"/>
      <c r="F5" s="98" t="s">
        <v>154</v>
      </c>
      <c r="G5" s="98"/>
    </row>
    <row r="6" customFormat="false" ht="19.7" hidden="false" customHeight="false" outlineLevel="0" collapsed="false">
      <c r="A6" s="4"/>
      <c r="B6" s="3"/>
      <c r="D6" s="4" t="s">
        <v>2</v>
      </c>
      <c r="F6" s="21" t="s">
        <v>153</v>
      </c>
      <c r="G6" s="6" t="n">
        <v>85</v>
      </c>
    </row>
    <row r="7" customFormat="false" ht="19.7" hidden="false" customHeight="false" outlineLevel="0" collapsed="false">
      <c r="A7" s="5" t="s">
        <v>2</v>
      </c>
      <c r="B7" s="6" t="n">
        <v>850000</v>
      </c>
      <c r="C7" s="7"/>
      <c r="D7" s="8" t="n">
        <f aca="false">B7/10</f>
        <v>85000</v>
      </c>
      <c r="F7" s="21" t="s">
        <v>13</v>
      </c>
      <c r="G7" s="6" t="n">
        <v>45</v>
      </c>
    </row>
    <row r="8" customFormat="false" ht="19.7" hidden="false" customHeight="false" outlineLevel="0" collapsed="false">
      <c r="A8" s="5" t="s">
        <v>4</v>
      </c>
      <c r="B8" s="6" t="n">
        <v>400000</v>
      </c>
      <c r="C8" s="7"/>
      <c r="D8" s="8" t="n">
        <f aca="false">B8/10</f>
        <v>40000</v>
      </c>
      <c r="F8" s="21" t="s">
        <v>155</v>
      </c>
      <c r="G8" s="6" t="n">
        <v>70</v>
      </c>
    </row>
    <row r="9" customFormat="false" ht="19.7" hidden="false" customHeight="false" outlineLevel="0" collapsed="false">
      <c r="A9" s="99"/>
      <c r="B9" s="6"/>
      <c r="C9" s="7"/>
      <c r="D9" s="100"/>
      <c r="F9" s="21" t="s">
        <v>156</v>
      </c>
      <c r="G9" s="6" t="n">
        <v>55</v>
      </c>
    </row>
    <row r="10" customFormat="false" ht="19.7" hidden="false" customHeight="false" outlineLevel="0" collapsed="false">
      <c r="A10" s="5" t="s">
        <v>30</v>
      </c>
      <c r="B10" s="9" t="n">
        <v>200000</v>
      </c>
      <c r="C10" s="7"/>
      <c r="D10" s="8" t="n">
        <f aca="false">B10/10</f>
        <v>20000</v>
      </c>
      <c r="F10" s="101" t="s">
        <v>157</v>
      </c>
      <c r="G10" s="102" t="n">
        <v>75</v>
      </c>
    </row>
    <row r="11" customFormat="false" ht="19.7" hidden="false" customHeight="false" outlineLevel="0" collapsed="false">
      <c r="A11" s="5" t="s">
        <v>6</v>
      </c>
      <c r="B11" s="6" t="n">
        <v>60000</v>
      </c>
      <c r="C11" s="7"/>
      <c r="D11" s="8" t="n">
        <f aca="false">B11</f>
        <v>60000</v>
      </c>
      <c r="F11" s="101" t="s">
        <v>158</v>
      </c>
      <c r="G11" s="102" t="n">
        <v>130</v>
      </c>
    </row>
    <row r="12" customFormat="false" ht="19.7" hidden="false" customHeight="false" outlineLevel="0" collapsed="false">
      <c r="A12" s="5" t="s">
        <v>7</v>
      </c>
      <c r="B12" s="6" t="n">
        <v>30000</v>
      </c>
      <c r="C12" s="7"/>
      <c r="D12" s="8" t="n">
        <f aca="false">B12</f>
        <v>30000</v>
      </c>
      <c r="F12" s="21" t="s">
        <v>159</v>
      </c>
      <c r="G12" s="6" t="n">
        <v>130</v>
      </c>
    </row>
    <row r="13" customFormat="false" ht="19.7" hidden="false" customHeight="false" outlineLevel="0" collapsed="false">
      <c r="A13" s="4" t="s">
        <v>8</v>
      </c>
      <c r="B13" s="3"/>
      <c r="D13" s="10" t="n">
        <f aca="false">D14*15%</f>
        <v>35250</v>
      </c>
      <c r="F13" s="21" t="s">
        <v>160</v>
      </c>
      <c r="G13" s="6" t="n">
        <v>25</v>
      </c>
    </row>
    <row r="14" customFormat="false" ht="19.7" hidden="false" customHeight="false" outlineLevel="0" collapsed="false">
      <c r="A14" s="4" t="s">
        <v>9</v>
      </c>
      <c r="B14" s="3"/>
      <c r="D14" s="11" t="n">
        <f aca="false">D7+D8+D10+D11+D12</f>
        <v>235000</v>
      </c>
      <c r="G14" s="81"/>
    </row>
    <row r="15" customFormat="false" ht="19.7" hidden="false" customHeight="false" outlineLevel="0" collapsed="false">
      <c r="A15" s="4" t="s">
        <v>19</v>
      </c>
      <c r="B15" s="3"/>
      <c r="D15" s="12" t="n">
        <f aca="false">D14+D13</f>
        <v>270250</v>
      </c>
    </row>
    <row r="16" customFormat="false" ht="19.7" hidden="false" customHeight="false" outlineLevel="0" collapsed="false">
      <c r="A16" s="4" t="s">
        <v>21</v>
      </c>
      <c r="B16" s="3"/>
      <c r="D16" s="12" t="n">
        <f aca="false">D15/3300</f>
        <v>81.8939393939394</v>
      </c>
    </row>
    <row r="17" customFormat="false" ht="19.7" hidden="false" customHeight="false" outlineLevel="0" collapsed="false">
      <c r="A17" s="4"/>
      <c r="B17" s="3"/>
      <c r="D17" s="4"/>
    </row>
    <row r="19" customFormat="false" ht="19.7" hidden="false" customHeight="false" outlineLevel="0" collapsed="false">
      <c r="A19" s="13" t="s">
        <v>13</v>
      </c>
      <c r="B19" s="3" t="n">
        <v>30</v>
      </c>
      <c r="C19" s="0" t="n">
        <v>0</v>
      </c>
      <c r="D19" s="3"/>
    </row>
    <row r="20" customFormat="false" ht="19.7" hidden="false" customHeight="false" outlineLevel="0" collapsed="false">
      <c r="A20" s="4"/>
      <c r="B20" s="3"/>
      <c r="D20" s="4" t="s">
        <v>2</v>
      </c>
    </row>
    <row r="21" customFormat="false" ht="19.7" hidden="false" customHeight="false" outlineLevel="0" collapsed="false">
      <c r="A21" s="5" t="s">
        <v>2</v>
      </c>
      <c r="B21" s="6" t="n">
        <f aca="false">340000*2</f>
        <v>680000</v>
      </c>
      <c r="D21" s="6" t="n">
        <f aca="false">B21/6</f>
        <v>113333.333333333</v>
      </c>
    </row>
    <row r="22" customFormat="false" ht="19.7" hidden="false" customHeight="false" outlineLevel="0" collapsed="false">
      <c r="A22" s="5" t="s">
        <v>7</v>
      </c>
      <c r="B22" s="6" t="n">
        <v>10000</v>
      </c>
      <c r="D22" s="6" t="n">
        <f aca="false">B22</f>
        <v>10000</v>
      </c>
    </row>
    <row r="23" customFormat="false" ht="19.7" hidden="false" customHeight="false" outlineLevel="0" collapsed="false">
      <c r="A23" s="5" t="s">
        <v>4</v>
      </c>
      <c r="B23" s="6" t="n">
        <v>200000</v>
      </c>
      <c r="D23" s="6" t="n">
        <f aca="false">B23/10</f>
        <v>20000</v>
      </c>
    </row>
    <row r="24" customFormat="false" ht="19.7" hidden="false" customHeight="false" outlineLevel="0" collapsed="false">
      <c r="A24" s="4" t="s">
        <v>8</v>
      </c>
      <c r="B24" s="3"/>
      <c r="D24" s="10" t="n">
        <f aca="false">D25*10%</f>
        <v>14333.3333333333</v>
      </c>
    </row>
    <row r="25" customFormat="false" ht="19.7" hidden="false" customHeight="false" outlineLevel="0" collapsed="false">
      <c r="A25" s="4" t="s">
        <v>9</v>
      </c>
      <c r="B25" s="3"/>
      <c r="D25" s="11" t="n">
        <f aca="false">D21+D22+D23</f>
        <v>143333.333333333</v>
      </c>
    </row>
    <row r="26" customFormat="false" ht="19.7" hidden="false" customHeight="false" outlineLevel="0" collapsed="false">
      <c r="A26" s="4" t="s">
        <v>19</v>
      </c>
      <c r="B26" s="3"/>
      <c r="D26" s="12" t="n">
        <f aca="false">D25+D24</f>
        <v>157666.666666667</v>
      </c>
    </row>
    <row r="27" customFormat="false" ht="19.7" hidden="false" customHeight="false" outlineLevel="0" collapsed="false">
      <c r="A27" s="4" t="s">
        <v>21</v>
      </c>
      <c r="B27" s="3"/>
      <c r="D27" s="22" t="n">
        <f aca="false">D26/3500</f>
        <v>45.047619047619</v>
      </c>
    </row>
    <row r="28" customFormat="false" ht="19.7" hidden="false" customHeight="false" outlineLevel="0" collapsed="false">
      <c r="A28" s="4"/>
      <c r="B28" s="3"/>
      <c r="D28" s="12"/>
    </row>
    <row r="29" customFormat="false" ht="19.7" hidden="false" customHeight="false" outlineLevel="0" collapsed="false">
      <c r="A29" s="2" t="s">
        <v>161</v>
      </c>
      <c r="B29" s="3" t="n">
        <v>65</v>
      </c>
      <c r="D29" s="3"/>
    </row>
    <row r="30" customFormat="false" ht="19.7" hidden="false" customHeight="false" outlineLevel="0" collapsed="false">
      <c r="A30" s="4"/>
      <c r="B30" s="3"/>
      <c r="D30" s="4" t="s">
        <v>2</v>
      </c>
    </row>
    <row r="31" customFormat="false" ht="19.7" hidden="false" customHeight="false" outlineLevel="0" collapsed="false">
      <c r="A31" s="5" t="s">
        <v>2</v>
      </c>
      <c r="B31" s="6" t="n">
        <f aca="false">85000*7</f>
        <v>595000</v>
      </c>
      <c r="C31" s="7"/>
      <c r="D31" s="6" t="n">
        <f aca="false">B31/10</f>
        <v>59500</v>
      </c>
    </row>
    <row r="32" customFormat="false" ht="19.7" hidden="false" customHeight="false" outlineLevel="0" collapsed="false">
      <c r="A32" s="5" t="s">
        <v>162</v>
      </c>
      <c r="B32" s="6" t="n">
        <v>80000</v>
      </c>
      <c r="C32" s="7"/>
      <c r="D32" s="6" t="n">
        <f aca="false">B32</f>
        <v>80000</v>
      </c>
    </row>
    <row r="33" customFormat="false" ht="19.7" hidden="false" customHeight="false" outlineLevel="0" collapsed="false">
      <c r="A33" s="5" t="s">
        <v>4</v>
      </c>
      <c r="B33" s="6" t="n">
        <v>250000</v>
      </c>
      <c r="C33" s="7"/>
      <c r="D33" s="6" t="n">
        <f aca="false">B33/10</f>
        <v>25000</v>
      </c>
    </row>
    <row r="34" customFormat="false" ht="19.7" hidden="false" customHeight="false" outlineLevel="0" collapsed="false">
      <c r="A34" s="21" t="s">
        <v>163</v>
      </c>
      <c r="B34" s="6" t="n">
        <v>10000</v>
      </c>
      <c r="C34" s="7"/>
      <c r="D34" s="6" t="n">
        <f aca="false">B34</f>
        <v>10000</v>
      </c>
    </row>
    <row r="35" customFormat="false" ht="19.7" hidden="false" customHeight="false" outlineLevel="0" collapsed="false">
      <c r="A35" s="5" t="s">
        <v>7</v>
      </c>
      <c r="B35" s="6" t="n">
        <v>25000</v>
      </c>
      <c r="C35" s="7"/>
      <c r="D35" s="6" t="n">
        <f aca="false">B35</f>
        <v>25000</v>
      </c>
    </row>
    <row r="36" customFormat="false" ht="19.7" hidden="false" customHeight="false" outlineLevel="0" collapsed="false">
      <c r="A36" s="4" t="s">
        <v>8</v>
      </c>
      <c r="B36" s="3"/>
      <c r="D36" s="10" t="n">
        <f aca="false">D37*15%</f>
        <v>29925</v>
      </c>
    </row>
    <row r="37" customFormat="false" ht="19.7" hidden="false" customHeight="false" outlineLevel="0" collapsed="false">
      <c r="A37" s="4" t="s">
        <v>9</v>
      </c>
      <c r="B37" s="3"/>
      <c r="D37" s="11" t="n">
        <f aca="false">D31+D33+D35+D34+D32</f>
        <v>199500</v>
      </c>
    </row>
    <row r="38" customFormat="false" ht="19.7" hidden="false" customHeight="false" outlineLevel="0" collapsed="false">
      <c r="A38" s="4" t="s">
        <v>19</v>
      </c>
      <c r="B38" s="3"/>
      <c r="D38" s="12" t="n">
        <f aca="false">D37+D36</f>
        <v>229425</v>
      </c>
    </row>
    <row r="39" customFormat="false" ht="19.7" hidden="false" customHeight="false" outlineLevel="0" collapsed="false">
      <c r="A39" s="4" t="s">
        <v>21</v>
      </c>
      <c r="B39" s="3"/>
      <c r="D39" s="12" t="n">
        <f aca="false">D38/3500</f>
        <v>65.55</v>
      </c>
    </row>
    <row r="45" customFormat="false" ht="19.7" hidden="false" customHeight="false" outlineLevel="0" collapsed="false">
      <c r="A45" s="2" t="s">
        <v>164</v>
      </c>
      <c r="B45" s="3" t="n">
        <v>65</v>
      </c>
      <c r="D45" s="3"/>
    </row>
    <row r="46" customFormat="false" ht="19.7" hidden="false" customHeight="false" outlineLevel="0" collapsed="false">
      <c r="A46" s="4"/>
      <c r="B46" s="3"/>
      <c r="D46" s="4" t="s">
        <v>2</v>
      </c>
    </row>
    <row r="47" customFormat="false" ht="19.7" hidden="false" customHeight="false" outlineLevel="0" collapsed="false">
      <c r="A47" s="5" t="s">
        <v>2</v>
      </c>
      <c r="B47" s="6" t="n">
        <f aca="false">85000*7</f>
        <v>595000</v>
      </c>
      <c r="C47" s="7"/>
      <c r="D47" s="6" t="n">
        <f aca="false">B47/10</f>
        <v>59500</v>
      </c>
    </row>
    <row r="48" customFormat="false" ht="19.7" hidden="false" customHeight="false" outlineLevel="0" collapsed="false">
      <c r="A48" s="5" t="s">
        <v>162</v>
      </c>
      <c r="B48" s="6" t="n">
        <v>80000</v>
      </c>
      <c r="C48" s="7"/>
      <c r="D48" s="6" t="n">
        <f aca="false">B48</f>
        <v>80000</v>
      </c>
    </row>
    <row r="49" customFormat="false" ht="19.7" hidden="false" customHeight="false" outlineLevel="0" collapsed="false">
      <c r="A49" s="5" t="s">
        <v>4</v>
      </c>
      <c r="B49" s="6" t="n">
        <v>400000</v>
      </c>
      <c r="C49" s="7"/>
      <c r="D49" s="6" t="n">
        <f aca="false">B49/10</f>
        <v>40000</v>
      </c>
    </row>
    <row r="50" customFormat="false" ht="19.7" hidden="false" customHeight="false" outlineLevel="0" collapsed="false">
      <c r="A50" s="21" t="s">
        <v>163</v>
      </c>
      <c r="B50" s="6" t="n">
        <v>10000</v>
      </c>
      <c r="C50" s="7"/>
      <c r="D50" s="6" t="n">
        <f aca="false">B50</f>
        <v>10000</v>
      </c>
    </row>
    <row r="51" customFormat="false" ht="19.7" hidden="false" customHeight="false" outlineLevel="0" collapsed="false">
      <c r="A51" s="5" t="s">
        <v>7</v>
      </c>
      <c r="B51" s="6" t="n">
        <v>25000</v>
      </c>
      <c r="C51" s="7"/>
      <c r="D51" s="6" t="n">
        <f aca="false">B51</f>
        <v>25000</v>
      </c>
    </row>
    <row r="52" customFormat="false" ht="19.7" hidden="false" customHeight="false" outlineLevel="0" collapsed="false">
      <c r="A52" s="4" t="s">
        <v>8</v>
      </c>
      <c r="B52" s="3"/>
      <c r="D52" s="10" t="n">
        <f aca="false">D53*15%</f>
        <v>32175</v>
      </c>
    </row>
    <row r="53" customFormat="false" ht="19.7" hidden="false" customHeight="false" outlineLevel="0" collapsed="false">
      <c r="A53" s="4" t="s">
        <v>9</v>
      </c>
      <c r="B53" s="3"/>
      <c r="D53" s="11" t="n">
        <f aca="false">D47+D49+D51+D50+D48</f>
        <v>214500</v>
      </c>
    </row>
    <row r="54" customFormat="false" ht="19.7" hidden="false" customHeight="false" outlineLevel="0" collapsed="false">
      <c r="A54" s="4" t="s">
        <v>19</v>
      </c>
      <c r="B54" s="3"/>
      <c r="D54" s="12" t="n">
        <f aca="false">D53+D52</f>
        <v>246675</v>
      </c>
    </row>
    <row r="55" customFormat="false" ht="19.7" hidden="false" customHeight="false" outlineLevel="0" collapsed="false">
      <c r="A55" s="4" t="s">
        <v>21</v>
      </c>
      <c r="B55" s="3"/>
      <c r="D55" s="12" t="n">
        <f aca="false">D54/3500</f>
        <v>70.4785714285714</v>
      </c>
    </row>
    <row r="58" customFormat="false" ht="19.7" hidden="false" customHeight="false" outlineLevel="0" collapsed="false">
      <c r="A58" s="103" t="s">
        <v>165</v>
      </c>
      <c r="B58" s="102" t="n">
        <v>95</v>
      </c>
      <c r="C58" s="104"/>
      <c r="D58" s="105"/>
    </row>
    <row r="59" customFormat="false" ht="19.7" hidden="false" customHeight="false" outlineLevel="0" collapsed="false">
      <c r="A59" s="106"/>
      <c r="B59" s="107"/>
      <c r="C59" s="108"/>
      <c r="D59" s="106" t="s">
        <v>2</v>
      </c>
    </row>
    <row r="60" customFormat="false" ht="19.7" hidden="false" customHeight="false" outlineLevel="0" collapsed="false">
      <c r="A60" s="105" t="s">
        <v>2</v>
      </c>
      <c r="B60" s="102" t="n">
        <v>1300000</v>
      </c>
      <c r="C60" s="104"/>
      <c r="D60" s="102" t="n">
        <f aca="false">B60/10</f>
        <v>130000</v>
      </c>
    </row>
    <row r="61" customFormat="false" ht="19.7" hidden="false" customHeight="false" outlineLevel="0" collapsed="false">
      <c r="A61" s="105" t="s">
        <v>4</v>
      </c>
      <c r="B61" s="102" t="n">
        <v>450000</v>
      </c>
      <c r="C61" s="104"/>
      <c r="D61" s="102" t="n">
        <f aca="false">B61/10</f>
        <v>45000</v>
      </c>
    </row>
    <row r="62" customFormat="false" ht="19.7" hidden="false" customHeight="false" outlineLevel="0" collapsed="false">
      <c r="A62" s="105" t="s">
        <v>166</v>
      </c>
      <c r="B62" s="109" t="n">
        <v>130000</v>
      </c>
      <c r="C62" s="104"/>
      <c r="D62" s="102" t="n">
        <f aca="false">B62</f>
        <v>130000</v>
      </c>
    </row>
    <row r="63" customFormat="false" ht="19.7" hidden="false" customHeight="false" outlineLevel="0" collapsed="false">
      <c r="A63" s="105" t="s">
        <v>167</v>
      </c>
      <c r="B63" s="102" t="n">
        <v>30000</v>
      </c>
      <c r="C63" s="104"/>
      <c r="D63" s="102" t="n">
        <f aca="false">B63</f>
        <v>30000</v>
      </c>
    </row>
    <row r="64" customFormat="false" ht="19.7" hidden="false" customHeight="false" outlineLevel="0" collapsed="false">
      <c r="A64" s="105" t="s">
        <v>7</v>
      </c>
      <c r="B64" s="102" t="n">
        <v>20000</v>
      </c>
      <c r="C64" s="104"/>
      <c r="D64" s="102" t="n">
        <f aca="false">B64</f>
        <v>20000</v>
      </c>
    </row>
    <row r="65" customFormat="false" ht="19.7" hidden="false" customHeight="false" outlineLevel="0" collapsed="false">
      <c r="A65" s="106" t="s">
        <v>8</v>
      </c>
      <c r="B65" s="107"/>
      <c r="C65" s="108"/>
      <c r="D65" s="107" t="n">
        <f aca="false">D66*10%</f>
        <v>35500</v>
      </c>
    </row>
    <row r="66" customFormat="false" ht="19.7" hidden="false" customHeight="false" outlineLevel="0" collapsed="false">
      <c r="A66" s="106" t="s">
        <v>9</v>
      </c>
      <c r="B66" s="107"/>
      <c r="C66" s="108"/>
      <c r="D66" s="110" t="n">
        <f aca="false">D60+D61+D62+D63+D64</f>
        <v>355000</v>
      </c>
    </row>
    <row r="67" customFormat="false" ht="19.7" hidden="false" customHeight="false" outlineLevel="0" collapsed="false">
      <c r="A67" s="106" t="s">
        <v>19</v>
      </c>
      <c r="B67" s="107"/>
      <c r="C67" s="108"/>
      <c r="D67" s="111" t="n">
        <f aca="false">D66+D65</f>
        <v>390500</v>
      </c>
    </row>
    <row r="68" customFormat="false" ht="19.7" hidden="false" customHeight="false" outlineLevel="0" collapsed="false">
      <c r="A68" s="106" t="s">
        <v>21</v>
      </c>
      <c r="B68" s="107"/>
      <c r="C68" s="108"/>
      <c r="D68" s="111" t="n">
        <f aca="false">D67/3200</f>
        <v>122.03125</v>
      </c>
    </row>
    <row r="69" customFormat="false" ht="14.25" hidden="false" customHeight="false" outlineLevel="0" collapsed="false">
      <c r="A69" s="108"/>
      <c r="B69" s="108"/>
      <c r="C69" s="108"/>
      <c r="D69" s="108"/>
    </row>
    <row r="70" customFormat="false" ht="14.25" hidden="false" customHeight="false" outlineLevel="0" collapsed="false">
      <c r="A70" s="108"/>
      <c r="B70" s="108"/>
      <c r="C70" s="108"/>
      <c r="D70" s="108"/>
    </row>
    <row r="72" customFormat="false" ht="19.7" hidden="false" customHeight="false" outlineLevel="0" collapsed="false">
      <c r="A72" s="103" t="s">
        <v>158</v>
      </c>
      <c r="B72" s="102" t="n">
        <v>80</v>
      </c>
      <c r="C72" s="104"/>
      <c r="D72" s="105"/>
    </row>
    <row r="73" customFormat="false" ht="19.7" hidden="false" customHeight="false" outlineLevel="0" collapsed="false">
      <c r="A73" s="106"/>
      <c r="B73" s="107"/>
      <c r="C73" s="108"/>
      <c r="D73" s="106" t="s">
        <v>2</v>
      </c>
    </row>
    <row r="74" customFormat="false" ht="19.7" hidden="false" customHeight="false" outlineLevel="0" collapsed="false">
      <c r="A74" s="105" t="s">
        <v>2</v>
      </c>
      <c r="B74" s="102" t="n">
        <v>1500000</v>
      </c>
      <c r="C74" s="104"/>
      <c r="D74" s="102" t="n">
        <f aca="false">B74/10</f>
        <v>150000</v>
      </c>
    </row>
    <row r="75" customFormat="false" ht="19.7" hidden="false" customHeight="false" outlineLevel="0" collapsed="false">
      <c r="A75" s="105" t="s">
        <v>4</v>
      </c>
      <c r="B75" s="102" t="n">
        <v>345000</v>
      </c>
      <c r="C75" s="104"/>
      <c r="D75" s="102" t="n">
        <f aca="false">B75/10</f>
        <v>34500</v>
      </c>
    </row>
    <row r="76" customFormat="false" ht="19.7" hidden="false" customHeight="false" outlineLevel="0" collapsed="false">
      <c r="A76" s="105" t="s">
        <v>168</v>
      </c>
      <c r="B76" s="109" t="n">
        <v>50000</v>
      </c>
      <c r="C76" s="104"/>
      <c r="D76" s="102" t="n">
        <f aca="false">B76</f>
        <v>50000</v>
      </c>
    </row>
    <row r="77" customFormat="false" ht="19.7" hidden="false" customHeight="false" outlineLevel="0" collapsed="false">
      <c r="A77" s="105" t="s">
        <v>169</v>
      </c>
      <c r="B77" s="102" t="n">
        <v>100000</v>
      </c>
      <c r="C77" s="104"/>
      <c r="D77" s="102" t="n">
        <f aca="false">B77</f>
        <v>100000</v>
      </c>
    </row>
    <row r="78" customFormat="false" ht="19.7" hidden="false" customHeight="false" outlineLevel="0" collapsed="false">
      <c r="A78" s="112" t="s">
        <v>7</v>
      </c>
      <c r="B78" s="113" t="n">
        <v>20000</v>
      </c>
      <c r="C78" s="114"/>
      <c r="D78" s="113" t="n">
        <f aca="false">B78</f>
        <v>20000</v>
      </c>
    </row>
    <row r="79" customFormat="false" ht="19.7" hidden="false" customHeight="false" outlineLevel="0" collapsed="false">
      <c r="A79" s="106" t="s">
        <v>8</v>
      </c>
      <c r="B79" s="107"/>
      <c r="C79" s="108"/>
      <c r="D79" s="107" t="n">
        <f aca="false">D80*10%</f>
        <v>35450</v>
      </c>
    </row>
    <row r="80" customFormat="false" ht="19.7" hidden="false" customHeight="false" outlineLevel="0" collapsed="false">
      <c r="A80" s="106" t="s">
        <v>9</v>
      </c>
      <c r="B80" s="107"/>
      <c r="C80" s="108"/>
      <c r="D80" s="110" t="n">
        <f aca="false">D74+D75+D76+D77+D78</f>
        <v>354500</v>
      </c>
    </row>
    <row r="81" customFormat="false" ht="19.7" hidden="false" customHeight="false" outlineLevel="0" collapsed="false">
      <c r="A81" s="106" t="s">
        <v>19</v>
      </c>
      <c r="B81" s="107"/>
      <c r="C81" s="108"/>
      <c r="D81" s="111" t="n">
        <f aca="false">D80+D79</f>
        <v>389950</v>
      </c>
    </row>
    <row r="82" customFormat="false" ht="19.7" hidden="false" customHeight="false" outlineLevel="0" collapsed="false">
      <c r="A82" s="106" t="s">
        <v>21</v>
      </c>
      <c r="B82" s="107"/>
      <c r="C82" s="108"/>
      <c r="D82" s="111" t="n">
        <f aca="false">D81/3200</f>
        <v>121.859375</v>
      </c>
    </row>
    <row r="86" customFormat="false" ht="19.7" hidden="false" customHeight="false" outlineLevel="0" collapsed="false">
      <c r="A86" s="2" t="s">
        <v>170</v>
      </c>
      <c r="B86" s="3" t="n">
        <v>25</v>
      </c>
      <c r="D86" s="3"/>
    </row>
    <row r="87" customFormat="false" ht="19.7" hidden="false" customHeight="false" outlineLevel="0" collapsed="false">
      <c r="A87" s="4"/>
      <c r="B87" s="3"/>
      <c r="D87" s="4" t="s">
        <v>2</v>
      </c>
    </row>
    <row r="88" customFormat="false" ht="19.7" hidden="false" customHeight="false" outlineLevel="0" collapsed="false">
      <c r="A88" s="5" t="s">
        <v>2</v>
      </c>
      <c r="B88" s="6" t="n">
        <f aca="false">85000*8</f>
        <v>680000</v>
      </c>
      <c r="C88" s="7"/>
      <c r="D88" s="6" t="n">
        <f aca="false">B88/10</f>
        <v>68000</v>
      </c>
    </row>
    <row r="89" customFormat="false" ht="19.7" hidden="false" customHeight="false" outlineLevel="0" collapsed="false">
      <c r="A89" s="5" t="s">
        <v>4</v>
      </c>
      <c r="B89" s="6" t="n">
        <v>200000</v>
      </c>
      <c r="C89" s="7"/>
      <c r="D89" s="6" t="n">
        <f aca="false">B89/10</f>
        <v>20000</v>
      </c>
    </row>
    <row r="90" customFormat="false" ht="19.7" hidden="false" customHeight="false" outlineLevel="0" collapsed="false">
      <c r="A90" s="5" t="s">
        <v>7</v>
      </c>
      <c r="B90" s="6" t="n">
        <v>10000</v>
      </c>
      <c r="C90" s="7"/>
      <c r="D90" s="6" t="n">
        <f aca="false">B90</f>
        <v>10000</v>
      </c>
    </row>
    <row r="91" customFormat="false" ht="19.7" hidden="false" customHeight="false" outlineLevel="0" collapsed="false">
      <c r="A91" s="4" t="s">
        <v>8</v>
      </c>
      <c r="B91" s="3"/>
      <c r="D91" s="10" t="n">
        <f aca="false">D92*15%</f>
        <v>14700</v>
      </c>
    </row>
    <row r="92" customFormat="false" ht="19.7" hidden="false" customHeight="false" outlineLevel="0" collapsed="false">
      <c r="A92" s="4" t="s">
        <v>9</v>
      </c>
      <c r="B92" s="3"/>
      <c r="D92" s="11" t="n">
        <f aca="false">D88+D89+D90</f>
        <v>98000</v>
      </c>
    </row>
    <row r="93" customFormat="false" ht="19.7" hidden="false" customHeight="false" outlineLevel="0" collapsed="false">
      <c r="A93" s="4" t="s">
        <v>19</v>
      </c>
      <c r="B93" s="3"/>
      <c r="D93" s="12" t="n">
        <f aca="false">D92+D91</f>
        <v>112700</v>
      </c>
    </row>
    <row r="94" customFormat="false" ht="19.7" hidden="false" customHeight="false" outlineLevel="0" collapsed="false">
      <c r="A94" s="4" t="s">
        <v>21</v>
      </c>
      <c r="B94" s="3"/>
      <c r="D94" s="12" t="n">
        <f aca="false">D93/3200</f>
        <v>35.21875</v>
      </c>
    </row>
    <row r="97" customFormat="false" ht="19.7" hidden="false" customHeight="false" outlineLevel="0" collapsed="false">
      <c r="A97" s="103" t="s">
        <v>171</v>
      </c>
      <c r="B97" s="102"/>
      <c r="C97" s="104"/>
      <c r="D97" s="105"/>
    </row>
    <row r="98" customFormat="false" ht="19.7" hidden="false" customHeight="false" outlineLevel="0" collapsed="false">
      <c r="A98" s="106"/>
      <c r="B98" s="107"/>
      <c r="C98" s="108"/>
      <c r="D98" s="106" t="s">
        <v>2</v>
      </c>
    </row>
    <row r="99" customFormat="false" ht="19.7" hidden="false" customHeight="false" outlineLevel="0" collapsed="false">
      <c r="A99" s="105" t="s">
        <v>2</v>
      </c>
      <c r="B99" s="102" t="n">
        <f aca="false">85000*5</f>
        <v>425000</v>
      </c>
      <c r="C99" s="104"/>
      <c r="D99" s="102" t="n">
        <f aca="false">B99/10</f>
        <v>42500</v>
      </c>
    </row>
    <row r="100" customFormat="false" ht="19.7" hidden="false" customHeight="false" outlineLevel="0" collapsed="false">
      <c r="A100" s="105" t="s">
        <v>4</v>
      </c>
      <c r="B100" s="102" t="n">
        <v>400000</v>
      </c>
      <c r="C100" s="104"/>
      <c r="D100" s="102" t="n">
        <f aca="false">B100/10</f>
        <v>40000</v>
      </c>
    </row>
    <row r="101" customFormat="false" ht="19.7" hidden="false" customHeight="false" outlineLevel="0" collapsed="false">
      <c r="A101" s="105" t="s">
        <v>172</v>
      </c>
      <c r="B101" s="109" t="n">
        <v>80000</v>
      </c>
      <c r="C101" s="104"/>
      <c r="D101" s="102" t="n">
        <f aca="false">B101</f>
        <v>80000</v>
      </c>
    </row>
    <row r="102" customFormat="false" ht="19.7" hidden="false" customHeight="false" outlineLevel="0" collapsed="false">
      <c r="A102" s="105" t="s">
        <v>173</v>
      </c>
      <c r="B102" s="102" t="n">
        <f aca="false">24500+8000</f>
        <v>32500</v>
      </c>
      <c r="C102" s="104"/>
      <c r="D102" s="102" t="n">
        <f aca="false">B102</f>
        <v>32500</v>
      </c>
    </row>
    <row r="103" customFormat="false" ht="19.7" hidden="false" customHeight="false" outlineLevel="0" collapsed="false">
      <c r="A103" s="112" t="s">
        <v>7</v>
      </c>
      <c r="B103" s="113" t="n">
        <v>20000</v>
      </c>
      <c r="C103" s="114"/>
      <c r="D103" s="113" t="n">
        <f aca="false">B103</f>
        <v>20000</v>
      </c>
    </row>
    <row r="104" customFormat="false" ht="19.7" hidden="false" customHeight="false" outlineLevel="0" collapsed="false">
      <c r="A104" s="106" t="s">
        <v>8</v>
      </c>
      <c r="B104" s="107"/>
      <c r="C104" s="108"/>
      <c r="D104" s="107" t="n">
        <f aca="false">D105*5%</f>
        <v>10750</v>
      </c>
    </row>
    <row r="105" customFormat="false" ht="19.7" hidden="false" customHeight="false" outlineLevel="0" collapsed="false">
      <c r="A105" s="106" t="s">
        <v>9</v>
      </c>
      <c r="B105" s="107"/>
      <c r="C105" s="108"/>
      <c r="D105" s="110" t="n">
        <f aca="false">D99+D100+D101+D102+D103</f>
        <v>215000</v>
      </c>
    </row>
    <row r="106" customFormat="false" ht="19.7" hidden="false" customHeight="false" outlineLevel="0" collapsed="false">
      <c r="A106" s="106" t="s">
        <v>19</v>
      </c>
      <c r="B106" s="107"/>
      <c r="C106" s="108"/>
      <c r="D106" s="111" t="n">
        <f aca="false">D105+D104</f>
        <v>225750</v>
      </c>
    </row>
    <row r="107" customFormat="false" ht="19.7" hidden="false" customHeight="false" outlineLevel="0" collapsed="false">
      <c r="A107" s="106" t="s">
        <v>21</v>
      </c>
      <c r="B107" s="107"/>
      <c r="C107" s="108"/>
      <c r="D107" s="111" t="n">
        <f aca="false">D106/3200</f>
        <v>70.546875</v>
      </c>
    </row>
    <row r="110" customFormat="false" ht="19.7" hidden="false" customHeight="false" outlineLevel="0" collapsed="false">
      <c r="A110" s="2" t="s">
        <v>174</v>
      </c>
      <c r="B110" s="3" t="n">
        <v>25</v>
      </c>
      <c r="D110" s="3"/>
    </row>
    <row r="111" customFormat="false" ht="19.7" hidden="false" customHeight="false" outlineLevel="0" collapsed="false">
      <c r="A111" s="4"/>
      <c r="B111" s="3"/>
      <c r="D111" s="4" t="s">
        <v>2</v>
      </c>
    </row>
    <row r="112" customFormat="false" ht="19.7" hidden="false" customHeight="false" outlineLevel="0" collapsed="false">
      <c r="A112" s="5" t="s">
        <v>2</v>
      </c>
      <c r="B112" s="6" t="n">
        <f aca="false">85000*5</f>
        <v>425000</v>
      </c>
      <c r="C112" s="7"/>
      <c r="D112" s="6" t="n">
        <f aca="false">B112/10</f>
        <v>42500</v>
      </c>
    </row>
    <row r="113" customFormat="false" ht="19.7" hidden="false" customHeight="false" outlineLevel="0" collapsed="false">
      <c r="A113" s="5" t="s">
        <v>4</v>
      </c>
      <c r="B113" s="6" t="n">
        <v>200000</v>
      </c>
      <c r="C113" s="7"/>
      <c r="D113" s="6" t="n">
        <f aca="false">B113/10</f>
        <v>20000</v>
      </c>
    </row>
    <row r="114" customFormat="false" ht="19.7" hidden="false" customHeight="false" outlineLevel="0" collapsed="false">
      <c r="A114" s="5" t="s">
        <v>7</v>
      </c>
      <c r="B114" s="6"/>
      <c r="C114" s="7"/>
      <c r="D114" s="6" t="n">
        <f aca="false">B114</f>
        <v>0</v>
      </c>
    </row>
    <row r="115" customFormat="false" ht="19.7" hidden="false" customHeight="false" outlineLevel="0" collapsed="false">
      <c r="A115" s="4" t="s">
        <v>8</v>
      </c>
      <c r="B115" s="3"/>
      <c r="D115" s="10" t="n">
        <f aca="false">D116*15%</f>
        <v>9375</v>
      </c>
    </row>
    <row r="116" customFormat="false" ht="19.7" hidden="false" customHeight="false" outlineLevel="0" collapsed="false">
      <c r="A116" s="4" t="s">
        <v>9</v>
      </c>
      <c r="B116" s="3"/>
      <c r="D116" s="11" t="n">
        <f aca="false">D112+D113+D114</f>
        <v>62500</v>
      </c>
    </row>
    <row r="117" customFormat="false" ht="19.7" hidden="false" customHeight="false" outlineLevel="0" collapsed="false">
      <c r="A117" s="4" t="s">
        <v>19</v>
      </c>
      <c r="B117" s="3"/>
      <c r="D117" s="12" t="n">
        <f aca="false">D116+D115</f>
        <v>71875</v>
      </c>
    </row>
    <row r="118" customFormat="false" ht="19.7" hidden="false" customHeight="false" outlineLevel="0" collapsed="false">
      <c r="A118" s="4" t="s">
        <v>21</v>
      </c>
      <c r="B118" s="3"/>
      <c r="D118" s="12" t="n">
        <f aca="false">D117/3200</f>
        <v>22.4609375</v>
      </c>
    </row>
  </sheetData>
  <mergeCells count="2">
    <mergeCell ref="A2:D2"/>
    <mergeCell ref="F5:G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8" activeCellId="0" sqref="A38"/>
    </sheetView>
  </sheetViews>
  <sheetFormatPr defaultColWidth="10.6015625" defaultRowHeight="14.25" customHeight="false" zeroHeight="false" outlineLevelRow="0" outlineLevelCol="0"/>
  <cols>
    <col collapsed="false" customWidth="true" hidden="false" outlineLevel="0" max="1" min="1" style="0" width="43.33"/>
    <col collapsed="false" customWidth="true" hidden="false" outlineLevel="0" max="2" min="2" style="0" width="15.78"/>
    <col collapsed="false" customWidth="true" hidden="false" outlineLevel="0" max="3" min="3" style="0" width="13.44"/>
    <col collapsed="false" customWidth="true" hidden="false" outlineLevel="0" max="5" min="5" style="0" width="38.89"/>
  </cols>
  <sheetData>
    <row r="2" customFormat="false" ht="19.7" hidden="false" customHeight="false" outlineLevel="0" collapsed="false">
      <c r="A2" s="2" t="s">
        <v>153</v>
      </c>
      <c r="B2" s="3"/>
      <c r="C2" s="4"/>
    </row>
    <row r="3" customFormat="false" ht="22.05" hidden="false" customHeight="false" outlineLevel="0" collapsed="false">
      <c r="A3" s="4"/>
      <c r="B3" s="3"/>
      <c r="C3" s="4" t="s">
        <v>2</v>
      </c>
      <c r="E3" s="98" t="s">
        <v>154</v>
      </c>
      <c r="F3" s="98"/>
    </row>
    <row r="4" customFormat="false" ht="19.7" hidden="false" customHeight="false" outlineLevel="0" collapsed="false">
      <c r="A4" s="5" t="s">
        <v>2</v>
      </c>
      <c r="B4" s="6" t="n">
        <v>500000</v>
      </c>
      <c r="C4" s="8" t="n">
        <f aca="false">B4/3</f>
        <v>166666.666666667</v>
      </c>
      <c r="E4" s="21" t="s">
        <v>13</v>
      </c>
      <c r="F4" s="6" t="n">
        <v>40</v>
      </c>
    </row>
    <row r="5" customFormat="false" ht="19.7" hidden="false" customHeight="false" outlineLevel="0" collapsed="false">
      <c r="A5" s="5" t="s">
        <v>4</v>
      </c>
      <c r="B5" s="6" t="n">
        <v>200000</v>
      </c>
      <c r="C5" s="8" t="n">
        <f aca="false">B5/3</f>
        <v>66666.6666666667</v>
      </c>
      <c r="E5" s="21" t="s">
        <v>175</v>
      </c>
      <c r="F5" s="6" t="n">
        <v>60</v>
      </c>
    </row>
    <row r="6" customFormat="false" ht="19.7" hidden="false" customHeight="false" outlineLevel="0" collapsed="false">
      <c r="A6" s="99" t="s">
        <v>176</v>
      </c>
      <c r="B6" s="6" t="n">
        <v>30000</v>
      </c>
      <c r="C6" s="8" t="n">
        <f aca="false">B6</f>
        <v>30000</v>
      </c>
      <c r="E6" s="115" t="s">
        <v>153</v>
      </c>
      <c r="F6" s="116" t="n">
        <v>130</v>
      </c>
    </row>
    <row r="7" customFormat="false" ht="19.7" hidden="false" customHeight="false" outlineLevel="0" collapsed="false">
      <c r="A7" s="5" t="s">
        <v>30</v>
      </c>
      <c r="B7" s="9" t="n">
        <v>150000</v>
      </c>
      <c r="C7" s="8" t="n">
        <f aca="false">B7/3</f>
        <v>50000</v>
      </c>
      <c r="E7" s="101" t="s">
        <v>177</v>
      </c>
      <c r="F7" s="6" t="n">
        <v>80</v>
      </c>
    </row>
    <row r="8" customFormat="false" ht="19.7" hidden="false" customHeight="false" outlineLevel="0" collapsed="false">
      <c r="A8" s="5" t="s">
        <v>6</v>
      </c>
      <c r="B8" s="6" t="n">
        <v>60000</v>
      </c>
      <c r="C8" s="8" t="n">
        <f aca="false">B8</f>
        <v>60000</v>
      </c>
      <c r="E8" s="117" t="s">
        <v>178</v>
      </c>
      <c r="F8" s="118" t="n">
        <v>50</v>
      </c>
    </row>
    <row r="9" customFormat="false" ht="19.7" hidden="false" customHeight="false" outlineLevel="0" collapsed="false">
      <c r="A9" s="5" t="s">
        <v>7</v>
      </c>
      <c r="B9" s="6" t="n">
        <v>10000</v>
      </c>
      <c r="C9" s="8" t="n">
        <f aca="false">B9</f>
        <v>10000</v>
      </c>
      <c r="F9" s="107" t="n">
        <f aca="false">SUM(F4:F8)</f>
        <v>360</v>
      </c>
    </row>
    <row r="10" customFormat="false" ht="19.7" hidden="false" customHeight="false" outlineLevel="0" collapsed="false">
      <c r="A10" s="4" t="s">
        <v>8</v>
      </c>
      <c r="B10" s="3"/>
      <c r="C10" s="10" t="n">
        <f aca="false">C11*15%</f>
        <v>57500</v>
      </c>
      <c r="E10" s="78"/>
      <c r="F10" s="3"/>
    </row>
    <row r="11" customFormat="false" ht="19.7" hidden="false" customHeight="false" outlineLevel="0" collapsed="false">
      <c r="A11" s="4" t="s">
        <v>9</v>
      </c>
      <c r="B11" s="3"/>
      <c r="C11" s="11" t="n">
        <f aca="false">C4+C5+C7+C8+C9+C6</f>
        <v>383333.333333333</v>
      </c>
      <c r="E11" s="78"/>
      <c r="F11" s="3"/>
    </row>
    <row r="12" customFormat="false" ht="19.7" hidden="false" customHeight="false" outlineLevel="0" collapsed="false">
      <c r="A12" s="4" t="s">
        <v>19</v>
      </c>
      <c r="B12" s="3"/>
      <c r="C12" s="12" t="n">
        <f aca="false">C11+C10</f>
        <v>440833.333333333</v>
      </c>
      <c r="E12" s="0" t="s">
        <v>179</v>
      </c>
      <c r="F12" s="0" t="n">
        <v>500</v>
      </c>
      <c r="G12" s="0" t="n">
        <v>200</v>
      </c>
    </row>
    <row r="13" customFormat="false" ht="19.7" hidden="false" customHeight="false" outlineLevel="0" collapsed="false">
      <c r="A13" s="4" t="s">
        <v>21</v>
      </c>
      <c r="B13" s="3"/>
      <c r="C13" s="12" t="n">
        <f aca="false">C12/3300</f>
        <v>133.585858585859</v>
      </c>
      <c r="E13" s="0" t="s">
        <v>180</v>
      </c>
      <c r="F13" s="0" t="n">
        <v>400</v>
      </c>
      <c r="G13" s="0" t="n">
        <v>100</v>
      </c>
    </row>
    <row r="14" customFormat="false" ht="19.7" hidden="false" customHeight="false" outlineLevel="0" collapsed="false">
      <c r="A14" s="4"/>
      <c r="B14" s="3"/>
      <c r="C14" s="4"/>
      <c r="E14" s="0" t="s">
        <v>181</v>
      </c>
      <c r="F14" s="0" t="n">
        <v>200</v>
      </c>
      <c r="G14" s="0" t="n">
        <v>150</v>
      </c>
    </row>
    <row r="15" customFormat="false" ht="14.25" hidden="false" customHeight="false" outlineLevel="0" collapsed="false">
      <c r="E15" s="0" t="s">
        <v>182</v>
      </c>
      <c r="F15" s="0" t="n">
        <v>300</v>
      </c>
      <c r="G15" s="0" t="n">
        <v>100</v>
      </c>
    </row>
    <row r="16" customFormat="false" ht="19.7" hidden="false" customHeight="false" outlineLevel="0" collapsed="false">
      <c r="A16" s="13" t="s">
        <v>13</v>
      </c>
      <c r="B16" s="3" t="n">
        <v>30</v>
      </c>
      <c r="C16" s="3"/>
      <c r="E16" s="0" t="s">
        <v>183</v>
      </c>
      <c r="F16" s="0" t="n">
        <v>370</v>
      </c>
      <c r="G16" s="0" t="n">
        <v>150</v>
      </c>
    </row>
    <row r="17" customFormat="false" ht="19.7" hidden="false" customHeight="false" outlineLevel="0" collapsed="false">
      <c r="A17" s="4"/>
      <c r="B17" s="3"/>
      <c r="C17" s="4" t="s">
        <v>2</v>
      </c>
      <c r="F17" s="0" t="n">
        <f aca="false">SUM(F12:F16)</f>
        <v>1770</v>
      </c>
      <c r="G17" s="0" t="n">
        <f aca="false">G12+G13+G14+G15+G16</f>
        <v>700</v>
      </c>
    </row>
    <row r="18" customFormat="false" ht="19.7" hidden="false" customHeight="false" outlineLevel="0" collapsed="false">
      <c r="A18" s="5" t="s">
        <v>2</v>
      </c>
      <c r="B18" s="6" t="n">
        <v>400000</v>
      </c>
      <c r="C18" s="6" t="n">
        <f aca="false">B18/3</f>
        <v>133333.333333333</v>
      </c>
    </row>
    <row r="19" customFormat="false" ht="19.7" hidden="false" customHeight="false" outlineLevel="0" collapsed="false">
      <c r="A19" s="5" t="s">
        <v>7</v>
      </c>
      <c r="B19" s="6" t="n">
        <v>10000</v>
      </c>
      <c r="C19" s="6" t="n">
        <f aca="false">B19</f>
        <v>10000</v>
      </c>
    </row>
    <row r="20" customFormat="false" ht="19.7" hidden="false" customHeight="false" outlineLevel="0" collapsed="false">
      <c r="A20" s="5" t="s">
        <v>4</v>
      </c>
      <c r="B20" s="6" t="n">
        <v>200000</v>
      </c>
      <c r="C20" s="6" t="n">
        <f aca="false">B20/10</f>
        <v>20000</v>
      </c>
    </row>
    <row r="21" customFormat="false" ht="19.7" hidden="false" customHeight="false" outlineLevel="0" collapsed="false">
      <c r="A21" s="4" t="s">
        <v>8</v>
      </c>
      <c r="B21" s="3"/>
      <c r="C21" s="10" t="n">
        <f aca="false">C22*10%</f>
        <v>16333.3333333333</v>
      </c>
    </row>
    <row r="22" customFormat="false" ht="19.7" hidden="false" customHeight="false" outlineLevel="0" collapsed="false">
      <c r="A22" s="4" t="s">
        <v>9</v>
      </c>
      <c r="B22" s="3"/>
      <c r="C22" s="11" t="n">
        <f aca="false">C18+C19+C20</f>
        <v>163333.333333333</v>
      </c>
    </row>
    <row r="23" customFormat="false" ht="19.7" hidden="false" customHeight="false" outlineLevel="0" collapsed="false">
      <c r="A23" s="4" t="s">
        <v>19</v>
      </c>
      <c r="B23" s="3"/>
      <c r="C23" s="12" t="n">
        <f aca="false">C22+C21</f>
        <v>179666.666666667</v>
      </c>
    </row>
    <row r="24" customFormat="false" ht="19.7" hidden="false" customHeight="false" outlineLevel="0" collapsed="false">
      <c r="A24" s="4" t="s">
        <v>21</v>
      </c>
      <c r="B24" s="3"/>
      <c r="C24" s="22" t="n">
        <f aca="false">C23/3500</f>
        <v>51.3333333333333</v>
      </c>
    </row>
    <row r="25" customFormat="false" ht="19.7" hidden="false" customHeight="false" outlineLevel="0" collapsed="false">
      <c r="A25" s="4"/>
      <c r="B25" s="3"/>
      <c r="C25" s="12"/>
    </row>
    <row r="26" customFormat="false" ht="19.7" hidden="false" customHeight="false" outlineLevel="0" collapsed="false">
      <c r="A26" s="2" t="s">
        <v>184</v>
      </c>
      <c r="B26" s="3" t="n">
        <v>65</v>
      </c>
      <c r="C26" s="3"/>
    </row>
    <row r="27" customFormat="false" ht="19.7" hidden="false" customHeight="false" outlineLevel="0" collapsed="false">
      <c r="A27" s="4"/>
      <c r="B27" s="3"/>
      <c r="C27" s="4" t="s">
        <v>2</v>
      </c>
    </row>
    <row r="28" customFormat="false" ht="19.7" hidden="false" customHeight="false" outlineLevel="0" collapsed="false">
      <c r="A28" s="5" t="s">
        <v>2</v>
      </c>
      <c r="B28" s="6" t="n">
        <v>200000</v>
      </c>
      <c r="C28" s="6" t="n">
        <f aca="false">B28/3</f>
        <v>66666.6666666667</v>
      </c>
    </row>
    <row r="29" customFormat="false" ht="19.7" hidden="false" customHeight="false" outlineLevel="0" collapsed="false">
      <c r="A29" s="5" t="s">
        <v>162</v>
      </c>
      <c r="B29" s="6" t="n">
        <v>0</v>
      </c>
      <c r="C29" s="6" t="n">
        <f aca="false">B29</f>
        <v>0</v>
      </c>
    </row>
    <row r="30" customFormat="false" ht="19.7" hidden="false" customHeight="false" outlineLevel="0" collapsed="false">
      <c r="A30" s="5" t="s">
        <v>4</v>
      </c>
      <c r="B30" s="6" t="n">
        <v>300000</v>
      </c>
      <c r="C30" s="6" t="n">
        <f aca="false">B30/3</f>
        <v>100000</v>
      </c>
    </row>
    <row r="31" customFormat="false" ht="19.7" hidden="false" customHeight="false" outlineLevel="0" collapsed="false">
      <c r="A31" s="21" t="s">
        <v>163</v>
      </c>
      <c r="B31" s="6" t="n">
        <v>10000</v>
      </c>
      <c r="C31" s="6" t="n">
        <f aca="false">B31</f>
        <v>10000</v>
      </c>
    </row>
    <row r="32" customFormat="false" ht="19.7" hidden="false" customHeight="false" outlineLevel="0" collapsed="false">
      <c r="A32" s="5" t="s">
        <v>7</v>
      </c>
      <c r="B32" s="6" t="n">
        <v>10000</v>
      </c>
      <c r="C32" s="6" t="n">
        <f aca="false">B32</f>
        <v>10000</v>
      </c>
    </row>
    <row r="33" customFormat="false" ht="19.7" hidden="false" customHeight="false" outlineLevel="0" collapsed="false">
      <c r="A33" s="4" t="s">
        <v>8</v>
      </c>
      <c r="B33" s="3"/>
      <c r="C33" s="10" t="n">
        <f aca="false">C34*15%</f>
        <v>28000</v>
      </c>
    </row>
    <row r="34" customFormat="false" ht="19.7" hidden="false" customHeight="false" outlineLevel="0" collapsed="false">
      <c r="A34" s="4" t="s">
        <v>9</v>
      </c>
      <c r="B34" s="3"/>
      <c r="C34" s="11" t="n">
        <f aca="false">C28+C30+C32+C31+C29</f>
        <v>186666.666666667</v>
      </c>
    </row>
    <row r="35" customFormat="false" ht="19.7" hidden="false" customHeight="false" outlineLevel="0" collapsed="false">
      <c r="A35" s="4" t="s">
        <v>19</v>
      </c>
      <c r="B35" s="3"/>
      <c r="C35" s="12" t="n">
        <f aca="false">C34+C33</f>
        <v>214666.666666667</v>
      </c>
    </row>
    <row r="36" customFormat="false" ht="19.7" hidden="false" customHeight="false" outlineLevel="0" collapsed="false">
      <c r="A36" s="4" t="s">
        <v>21</v>
      </c>
      <c r="B36" s="3"/>
      <c r="C36" s="12" t="n">
        <f aca="false">C35/3500</f>
        <v>61.3333333333333</v>
      </c>
    </row>
    <row r="40" customFormat="false" ht="19.7" hidden="false" customHeight="false" outlineLevel="0" collapsed="false">
      <c r="A40" s="2" t="s">
        <v>185</v>
      </c>
      <c r="B40" s="3" t="n">
        <v>25</v>
      </c>
      <c r="C40" s="3"/>
    </row>
    <row r="41" customFormat="false" ht="19.7" hidden="false" customHeight="false" outlineLevel="0" collapsed="false">
      <c r="A41" s="4"/>
      <c r="B41" s="3"/>
      <c r="C41" s="4" t="s">
        <v>2</v>
      </c>
    </row>
    <row r="42" customFormat="false" ht="19.7" hidden="false" customHeight="false" outlineLevel="0" collapsed="false">
      <c r="A42" s="5" t="s">
        <v>2</v>
      </c>
      <c r="B42" s="6" t="n">
        <v>300000</v>
      </c>
      <c r="C42" s="6" t="n">
        <f aca="false">B42/3</f>
        <v>100000</v>
      </c>
    </row>
    <row r="43" customFormat="false" ht="19.7" hidden="false" customHeight="false" outlineLevel="0" collapsed="false">
      <c r="A43" s="5" t="s">
        <v>4</v>
      </c>
      <c r="B43" s="6" t="n">
        <v>200000</v>
      </c>
      <c r="C43" s="6" t="n">
        <f aca="false">B43/3</f>
        <v>66666.6666666667</v>
      </c>
    </row>
    <row r="44" customFormat="false" ht="19.7" hidden="false" customHeight="false" outlineLevel="0" collapsed="false">
      <c r="A44" s="5" t="s">
        <v>7</v>
      </c>
      <c r="B44" s="6" t="n">
        <v>10000</v>
      </c>
      <c r="C44" s="6" t="n">
        <f aca="false">B44</f>
        <v>10000</v>
      </c>
    </row>
    <row r="45" customFormat="false" ht="19.7" hidden="false" customHeight="false" outlineLevel="0" collapsed="false">
      <c r="A45" s="4" t="s">
        <v>8</v>
      </c>
      <c r="B45" s="3"/>
      <c r="C45" s="10" t="n">
        <f aca="false">C46*15%</f>
        <v>26500</v>
      </c>
    </row>
    <row r="46" customFormat="false" ht="19.7" hidden="false" customHeight="false" outlineLevel="0" collapsed="false">
      <c r="A46" s="4" t="s">
        <v>9</v>
      </c>
      <c r="B46" s="3"/>
      <c r="C46" s="11" t="n">
        <f aca="false">C42+C43+C44</f>
        <v>176666.666666667</v>
      </c>
    </row>
    <row r="47" customFormat="false" ht="19.7" hidden="false" customHeight="false" outlineLevel="0" collapsed="false">
      <c r="A47" s="4" t="s">
        <v>19</v>
      </c>
      <c r="B47" s="3"/>
      <c r="C47" s="12" t="n">
        <f aca="false">C46+C45</f>
        <v>203166.666666667</v>
      </c>
    </row>
    <row r="48" customFormat="false" ht="19.7" hidden="false" customHeight="false" outlineLevel="0" collapsed="false">
      <c r="A48" s="4" t="s">
        <v>21</v>
      </c>
      <c r="B48" s="3"/>
      <c r="C48" s="12" t="n">
        <f aca="false">C47/3200</f>
        <v>63.4895833333333</v>
      </c>
    </row>
    <row r="51" customFormat="false" ht="19.7" hidden="false" customHeight="false" outlineLevel="0" collapsed="false">
      <c r="A51" s="103" t="s">
        <v>186</v>
      </c>
      <c r="B51" s="102"/>
      <c r="C51" s="105"/>
    </row>
    <row r="52" customFormat="false" ht="19.7" hidden="false" customHeight="false" outlineLevel="0" collapsed="false">
      <c r="A52" s="106"/>
      <c r="B52" s="107"/>
      <c r="C52" s="106" t="s">
        <v>2</v>
      </c>
    </row>
    <row r="53" customFormat="false" ht="19.7" hidden="false" customHeight="false" outlineLevel="0" collapsed="false">
      <c r="A53" s="105" t="s">
        <v>2</v>
      </c>
      <c r="B53" s="102" t="n">
        <v>300000</v>
      </c>
      <c r="C53" s="102" t="n">
        <f aca="false">B53/3</f>
        <v>100000</v>
      </c>
    </row>
    <row r="54" customFormat="false" ht="19.7" hidden="false" customHeight="false" outlineLevel="0" collapsed="false">
      <c r="A54" s="105" t="s">
        <v>4</v>
      </c>
      <c r="B54" s="102" t="n">
        <v>200000</v>
      </c>
      <c r="C54" s="102" t="n">
        <f aca="false">B54/3</f>
        <v>66666.6666666667</v>
      </c>
    </row>
    <row r="55" customFormat="false" ht="19.7" hidden="false" customHeight="false" outlineLevel="0" collapsed="false">
      <c r="A55" s="105" t="s">
        <v>172</v>
      </c>
      <c r="B55" s="109"/>
      <c r="C55" s="102" t="n">
        <f aca="false">B55</f>
        <v>0</v>
      </c>
    </row>
    <row r="56" customFormat="false" ht="19.7" hidden="false" customHeight="false" outlineLevel="0" collapsed="false">
      <c r="A56" s="105" t="s">
        <v>173</v>
      </c>
      <c r="B56" s="102" t="n">
        <f aca="false">24500+8000</f>
        <v>32500</v>
      </c>
      <c r="C56" s="102" t="n">
        <f aca="false">B56</f>
        <v>32500</v>
      </c>
    </row>
    <row r="57" customFormat="false" ht="19.7" hidden="false" customHeight="false" outlineLevel="0" collapsed="false">
      <c r="A57" s="112" t="s">
        <v>7</v>
      </c>
      <c r="B57" s="113" t="n">
        <v>10000</v>
      </c>
      <c r="C57" s="113" t="n">
        <f aca="false">B57</f>
        <v>10000</v>
      </c>
    </row>
    <row r="58" customFormat="false" ht="19.7" hidden="false" customHeight="false" outlineLevel="0" collapsed="false">
      <c r="A58" s="106" t="s">
        <v>8</v>
      </c>
      <c r="B58" s="107"/>
      <c r="C58" s="107" t="n">
        <f aca="false">C59*5%</f>
        <v>10458.3333333333</v>
      </c>
    </row>
    <row r="59" customFormat="false" ht="19.7" hidden="false" customHeight="false" outlineLevel="0" collapsed="false">
      <c r="A59" s="106" t="s">
        <v>9</v>
      </c>
      <c r="B59" s="107"/>
      <c r="C59" s="110" t="n">
        <f aca="false">C53+C54+C55+C56+C57</f>
        <v>209166.666666667</v>
      </c>
    </row>
    <row r="60" customFormat="false" ht="19.7" hidden="false" customHeight="false" outlineLevel="0" collapsed="false">
      <c r="A60" s="106" t="s">
        <v>19</v>
      </c>
      <c r="B60" s="107"/>
      <c r="C60" s="111" t="n">
        <f aca="false">C59+C58</f>
        <v>219625</v>
      </c>
    </row>
    <row r="61" customFormat="false" ht="19.7" hidden="false" customHeight="false" outlineLevel="0" collapsed="false">
      <c r="A61" s="106" t="s">
        <v>21</v>
      </c>
      <c r="B61" s="107"/>
      <c r="C61" s="111" t="n">
        <f aca="false">C60/3200</f>
        <v>68.6328125</v>
      </c>
    </row>
    <row r="64" customFormat="false" ht="19.7" hidden="false" customHeight="false" outlineLevel="0" collapsed="false">
      <c r="A64" s="2" t="s">
        <v>174</v>
      </c>
      <c r="B64" s="3" t="n">
        <v>25</v>
      </c>
      <c r="C64" s="3"/>
    </row>
    <row r="65" customFormat="false" ht="19.7" hidden="false" customHeight="false" outlineLevel="0" collapsed="false">
      <c r="A65" s="4"/>
      <c r="B65" s="3"/>
      <c r="C65" s="4" t="s">
        <v>2</v>
      </c>
    </row>
    <row r="66" customFormat="false" ht="19.7" hidden="false" customHeight="false" outlineLevel="0" collapsed="false">
      <c r="A66" s="5" t="s">
        <v>2</v>
      </c>
      <c r="B66" s="6" t="n">
        <f aca="false">80000*5</f>
        <v>400000</v>
      </c>
      <c r="C66" s="6" t="n">
        <f aca="false">B66/10</f>
        <v>40000</v>
      </c>
    </row>
    <row r="67" customFormat="false" ht="19.7" hidden="false" customHeight="false" outlineLevel="0" collapsed="false">
      <c r="A67" s="5" t="s">
        <v>4</v>
      </c>
      <c r="B67" s="6" t="n">
        <v>200000</v>
      </c>
      <c r="C67" s="6" t="n">
        <f aca="false">B67/10</f>
        <v>20000</v>
      </c>
    </row>
    <row r="68" customFormat="false" ht="19.7" hidden="false" customHeight="false" outlineLevel="0" collapsed="false">
      <c r="A68" s="5" t="s">
        <v>7</v>
      </c>
      <c r="B68" s="6"/>
      <c r="C68" s="6" t="n">
        <f aca="false">B68</f>
        <v>0</v>
      </c>
    </row>
    <row r="69" customFormat="false" ht="19.7" hidden="false" customHeight="false" outlineLevel="0" collapsed="false">
      <c r="A69" s="4" t="s">
        <v>8</v>
      </c>
      <c r="B69" s="3"/>
      <c r="C69" s="10" t="n">
        <f aca="false">C70*15%</f>
        <v>9000</v>
      </c>
    </row>
    <row r="70" customFormat="false" ht="19.7" hidden="false" customHeight="false" outlineLevel="0" collapsed="false">
      <c r="A70" s="4" t="s">
        <v>9</v>
      </c>
      <c r="B70" s="3"/>
      <c r="C70" s="11" t="n">
        <f aca="false">C66+C67+C68</f>
        <v>60000</v>
      </c>
    </row>
    <row r="71" customFormat="false" ht="19.7" hidden="false" customHeight="false" outlineLevel="0" collapsed="false">
      <c r="A71" s="4" t="s">
        <v>19</v>
      </c>
      <c r="B71" s="3"/>
      <c r="C71" s="12" t="n">
        <f aca="false">C70+C69</f>
        <v>69000</v>
      </c>
    </row>
    <row r="72" customFormat="false" ht="19.7" hidden="false" customHeight="false" outlineLevel="0" collapsed="false">
      <c r="A72" s="4" t="s">
        <v>21</v>
      </c>
      <c r="B72" s="3"/>
      <c r="C72" s="12" t="n">
        <f aca="false">C71/3200</f>
        <v>21.5625</v>
      </c>
    </row>
  </sheetData>
  <mergeCells count="1">
    <mergeCell ref="E3:F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J110"/>
  <sheetViews>
    <sheetView showFormulas="false" showGridLines="true" showRowColHeaders="true" showZeros="true" rightToLeft="false" tabSelected="false" showOutlineSymbols="true" defaultGridColor="true" view="normal" topLeftCell="A1" colorId="64" zoomScale="81" zoomScaleNormal="81" zoomScalePageLayoutView="100" workbookViewId="0">
      <selection pane="topLeft" activeCell="J4" activeCellId="0" sqref="J4"/>
    </sheetView>
  </sheetViews>
  <sheetFormatPr defaultColWidth="10.6015625" defaultRowHeight="23.25" customHeight="false" zeroHeight="false" outlineLevelRow="0" outlineLevelCol="0"/>
  <cols>
    <col collapsed="false" customWidth="true" hidden="false" outlineLevel="0" max="1" min="1" style="0" width="40.33"/>
    <col collapsed="false" customWidth="true" hidden="false" outlineLevel="0" max="2" min="2" style="0" width="16"/>
    <col collapsed="false" customWidth="true" hidden="false" outlineLevel="0" max="4" min="4" style="0" width="13.89"/>
    <col collapsed="false" customWidth="true" hidden="false" outlineLevel="0" max="7" min="7" style="0" width="35"/>
    <col collapsed="false" customWidth="true" hidden="false" outlineLevel="0" max="8" min="8" style="119" width="21.66"/>
    <col collapsed="false" customWidth="true" hidden="false" outlineLevel="0" max="10" min="10" style="0" width="13.44"/>
  </cols>
  <sheetData>
    <row r="3" customFormat="false" ht="23.25" hidden="false" customHeight="false" outlineLevel="0" collapsed="false">
      <c r="A3" s="120" t="s">
        <v>187</v>
      </c>
      <c r="B3" s="120"/>
      <c r="C3" s="120"/>
      <c r="D3" s="120"/>
      <c r="G3" s="98" t="s">
        <v>154</v>
      </c>
      <c r="H3" s="98"/>
    </row>
    <row r="4" customFormat="false" ht="23.25" hidden="false" customHeight="false" outlineLevel="0" collapsed="false">
      <c r="A4" s="121" t="s">
        <v>188</v>
      </c>
      <c r="B4" s="121"/>
      <c r="C4" s="121"/>
      <c r="D4" s="121"/>
      <c r="E4" s="122"/>
      <c r="G4" s="21" t="s">
        <v>153</v>
      </c>
      <c r="H4" s="123" t="n">
        <v>100</v>
      </c>
    </row>
    <row r="5" customFormat="false" ht="23.25" hidden="false" customHeight="false" outlineLevel="0" collapsed="false">
      <c r="A5" s="0" t="s">
        <v>189</v>
      </c>
      <c r="G5" s="21" t="s">
        <v>13</v>
      </c>
      <c r="H5" s="123" t="n">
        <v>40</v>
      </c>
    </row>
    <row r="6" customFormat="false" ht="23.25" hidden="false" customHeight="false" outlineLevel="0" collapsed="false">
      <c r="A6" s="0" t="s">
        <v>190</v>
      </c>
      <c r="B6" s="0" t="s">
        <v>191</v>
      </c>
      <c r="G6" s="21" t="s">
        <v>192</v>
      </c>
      <c r="H6" s="123" t="n">
        <v>120</v>
      </c>
    </row>
    <row r="7" customFormat="false" ht="23.25" hidden="false" customHeight="false" outlineLevel="0" collapsed="false">
      <c r="A7" s="0" t="s">
        <v>193</v>
      </c>
      <c r="B7" s="0" t="s">
        <v>194</v>
      </c>
      <c r="G7" s="21" t="s">
        <v>195</v>
      </c>
      <c r="H7" s="123" t="n">
        <v>80</v>
      </c>
    </row>
    <row r="8" customFormat="false" ht="23.25" hidden="false" customHeight="false" outlineLevel="0" collapsed="false">
      <c r="G8" s="21" t="s">
        <v>161</v>
      </c>
      <c r="H8" s="123" t="n">
        <v>80</v>
      </c>
    </row>
    <row r="9" customFormat="false" ht="23.25" hidden="false" customHeight="false" outlineLevel="0" collapsed="false">
      <c r="G9" s="101" t="s">
        <v>196</v>
      </c>
      <c r="H9" s="124" t="n">
        <v>105</v>
      </c>
    </row>
    <row r="10" customFormat="false" ht="23.25" hidden="false" customHeight="false" outlineLevel="0" collapsed="false">
      <c r="A10" s="2" t="s">
        <v>153</v>
      </c>
      <c r="B10" s="3"/>
      <c r="D10" s="4"/>
      <c r="G10" s="101" t="s">
        <v>197</v>
      </c>
      <c r="H10" s="124" t="n">
        <v>145</v>
      </c>
    </row>
    <row r="11" customFormat="false" ht="23.25" hidden="false" customHeight="false" outlineLevel="0" collapsed="false">
      <c r="A11" s="4"/>
      <c r="B11" s="3"/>
      <c r="D11" s="4" t="s">
        <v>2</v>
      </c>
      <c r="G11" s="21" t="s">
        <v>198</v>
      </c>
      <c r="H11" s="119" t="n">
        <v>145</v>
      </c>
    </row>
    <row r="12" customFormat="false" ht="23.25" hidden="false" customHeight="false" outlineLevel="0" collapsed="false">
      <c r="A12" s="5" t="s">
        <v>2</v>
      </c>
      <c r="B12" s="6" t="n">
        <v>700000</v>
      </c>
      <c r="C12" s="7"/>
      <c r="D12" s="8" t="n">
        <f aca="false">B12/6</f>
        <v>116666.666666667</v>
      </c>
      <c r="G12" s="21" t="s">
        <v>199</v>
      </c>
      <c r="H12" s="123" t="n">
        <v>170</v>
      </c>
    </row>
    <row r="13" customFormat="false" ht="23.25" hidden="false" customHeight="false" outlineLevel="0" collapsed="false">
      <c r="A13" s="5" t="s">
        <v>4</v>
      </c>
      <c r="B13" s="6" t="n">
        <v>300000</v>
      </c>
      <c r="C13" s="7"/>
      <c r="D13" s="8" t="n">
        <f aca="false">B13/6</f>
        <v>50000</v>
      </c>
      <c r="G13" s="21" t="s">
        <v>170</v>
      </c>
      <c r="H13" s="123" t="n">
        <v>50</v>
      </c>
    </row>
    <row r="14" customFormat="false" ht="23.25" hidden="false" customHeight="false" outlineLevel="0" collapsed="false">
      <c r="A14" s="99"/>
      <c r="B14" s="6"/>
      <c r="C14" s="7"/>
      <c r="D14" s="100"/>
      <c r="G14" s="21" t="s">
        <v>200</v>
      </c>
      <c r="H14" s="123" t="n">
        <v>80</v>
      </c>
    </row>
    <row r="15" customFormat="false" ht="23.25" hidden="false" customHeight="false" outlineLevel="0" collapsed="false">
      <c r="A15" s="5" t="s">
        <v>30</v>
      </c>
      <c r="B15" s="9" t="n">
        <v>150000</v>
      </c>
      <c r="C15" s="7"/>
      <c r="D15" s="8" t="n">
        <f aca="false">B15/6</f>
        <v>25000</v>
      </c>
    </row>
    <row r="16" customFormat="false" ht="23.25" hidden="false" customHeight="false" outlineLevel="0" collapsed="false">
      <c r="A16" s="5" t="s">
        <v>6</v>
      </c>
      <c r="B16" s="6" t="n">
        <v>60000</v>
      </c>
      <c r="C16" s="7"/>
      <c r="D16" s="8" t="n">
        <f aca="false">B16</f>
        <v>60000</v>
      </c>
    </row>
    <row r="17" customFormat="false" ht="23.25" hidden="false" customHeight="false" outlineLevel="0" collapsed="false">
      <c r="A17" s="5" t="s">
        <v>7</v>
      </c>
      <c r="B17" s="6" t="n">
        <v>30000</v>
      </c>
      <c r="C17" s="7"/>
      <c r="D17" s="8" t="n">
        <f aca="false">B17</f>
        <v>30000</v>
      </c>
    </row>
    <row r="18" customFormat="false" ht="23.25" hidden="false" customHeight="false" outlineLevel="0" collapsed="false">
      <c r="A18" s="4" t="s">
        <v>8</v>
      </c>
      <c r="B18" s="3"/>
      <c r="D18" s="10" t="n">
        <f aca="false">D19*15%</f>
        <v>42250</v>
      </c>
    </row>
    <row r="19" customFormat="false" ht="23.25" hidden="false" customHeight="false" outlineLevel="0" collapsed="false">
      <c r="A19" s="4" t="s">
        <v>9</v>
      </c>
      <c r="B19" s="3"/>
      <c r="D19" s="11" t="n">
        <f aca="false">D12+D13+D15+D16+D17</f>
        <v>281666.666666667</v>
      </c>
    </row>
    <row r="20" customFormat="false" ht="23.25" hidden="false" customHeight="false" outlineLevel="0" collapsed="false">
      <c r="A20" s="4" t="s">
        <v>19</v>
      </c>
      <c r="B20" s="3"/>
      <c r="D20" s="12" t="n">
        <f aca="false">D19+D18</f>
        <v>323916.666666667</v>
      </c>
    </row>
    <row r="21" customFormat="false" ht="23.25" hidden="false" customHeight="false" outlineLevel="0" collapsed="false">
      <c r="A21" s="4" t="s">
        <v>21</v>
      </c>
      <c r="B21" s="3"/>
      <c r="D21" s="12" t="n">
        <f aca="false">D20/3300</f>
        <v>98.1565656565657</v>
      </c>
    </row>
    <row r="22" customFormat="false" ht="23.25" hidden="false" customHeight="false" outlineLevel="0" collapsed="false">
      <c r="A22" s="4"/>
      <c r="B22" s="3"/>
      <c r="D22" s="4"/>
    </row>
    <row r="24" customFormat="false" ht="23.25" hidden="false" customHeight="false" outlineLevel="0" collapsed="false">
      <c r="A24" s="13" t="s">
        <v>13</v>
      </c>
      <c r="B24" s="3" t="n">
        <v>30</v>
      </c>
      <c r="C24" s="0" t="n">
        <v>0</v>
      </c>
      <c r="D24" s="3"/>
    </row>
    <row r="25" customFormat="false" ht="23.25" hidden="false" customHeight="false" outlineLevel="0" collapsed="false">
      <c r="A25" s="4"/>
      <c r="B25" s="3"/>
      <c r="D25" s="4" t="s">
        <v>2</v>
      </c>
    </row>
    <row r="26" customFormat="false" ht="23.25" hidden="false" customHeight="false" outlineLevel="0" collapsed="false">
      <c r="A26" s="5" t="s">
        <v>2</v>
      </c>
      <c r="B26" s="6" t="n">
        <v>500000</v>
      </c>
      <c r="D26" s="6" t="n">
        <f aca="false">B26/6</f>
        <v>83333.3333333333</v>
      </c>
    </row>
    <row r="27" customFormat="false" ht="23.25" hidden="false" customHeight="false" outlineLevel="0" collapsed="false">
      <c r="A27" s="5" t="s">
        <v>7</v>
      </c>
      <c r="B27" s="6" t="n">
        <v>10000</v>
      </c>
      <c r="D27" s="6" t="n">
        <f aca="false">B27</f>
        <v>10000</v>
      </c>
    </row>
    <row r="28" customFormat="false" ht="23.25" hidden="false" customHeight="false" outlineLevel="0" collapsed="false">
      <c r="A28" s="5" t="s">
        <v>4</v>
      </c>
      <c r="B28" s="6" t="n">
        <v>200000</v>
      </c>
      <c r="D28" s="6" t="n">
        <f aca="false">B28/6</f>
        <v>33333.3333333333</v>
      </c>
    </row>
    <row r="29" customFormat="false" ht="23.25" hidden="false" customHeight="false" outlineLevel="0" collapsed="false">
      <c r="A29" s="4" t="s">
        <v>8</v>
      </c>
      <c r="B29" s="3"/>
      <c r="D29" s="10" t="n">
        <f aca="false">D30*10%</f>
        <v>12666.6666666667</v>
      </c>
    </row>
    <row r="30" customFormat="false" ht="23.25" hidden="false" customHeight="false" outlineLevel="0" collapsed="false">
      <c r="A30" s="4" t="s">
        <v>9</v>
      </c>
      <c r="B30" s="3"/>
      <c r="D30" s="11" t="n">
        <f aca="false">D26+D27+D28</f>
        <v>126666.666666667</v>
      </c>
    </row>
    <row r="31" customFormat="false" ht="23.25" hidden="false" customHeight="false" outlineLevel="0" collapsed="false">
      <c r="A31" s="4" t="s">
        <v>19</v>
      </c>
      <c r="B31" s="3"/>
      <c r="D31" s="12" t="n">
        <f aca="false">D30+D29</f>
        <v>139333.333333333</v>
      </c>
    </row>
    <row r="32" customFormat="false" ht="23.25" hidden="false" customHeight="false" outlineLevel="0" collapsed="false">
      <c r="A32" s="4" t="s">
        <v>21</v>
      </c>
      <c r="B32" s="3"/>
      <c r="D32" s="22" t="n">
        <f aca="false">D31/3200</f>
        <v>43.5416666666667</v>
      </c>
    </row>
    <row r="33" customFormat="false" ht="23.25" hidden="false" customHeight="false" outlineLevel="0" collapsed="false">
      <c r="A33" s="4"/>
      <c r="B33" s="3"/>
      <c r="D33" s="12"/>
    </row>
    <row r="34" customFormat="false" ht="23.25" hidden="false" customHeight="false" outlineLevel="0" collapsed="false">
      <c r="A34" s="4"/>
      <c r="B34" s="3"/>
      <c r="D34" s="12"/>
    </row>
    <row r="35" customFormat="false" ht="23.25" hidden="false" customHeight="false" outlineLevel="0" collapsed="false">
      <c r="A35" s="2" t="s">
        <v>164</v>
      </c>
      <c r="B35" s="3" t="n">
        <v>65</v>
      </c>
      <c r="D35" s="3"/>
    </row>
    <row r="36" customFormat="false" ht="23.25" hidden="false" customHeight="false" outlineLevel="0" collapsed="false">
      <c r="A36" s="4"/>
      <c r="B36" s="3"/>
      <c r="D36" s="4" t="s">
        <v>2</v>
      </c>
      <c r="G36" s="2" t="s">
        <v>192</v>
      </c>
      <c r="H36" s="119" t="n">
        <v>65</v>
      </c>
      <c r="J36" s="3"/>
    </row>
    <row r="37" customFormat="false" ht="23.25" hidden="false" customHeight="false" outlineLevel="0" collapsed="false">
      <c r="A37" s="5" t="s">
        <v>2</v>
      </c>
      <c r="B37" s="6" t="n">
        <f aca="false">70000*7</f>
        <v>490000</v>
      </c>
      <c r="C37" s="7"/>
      <c r="D37" s="6" t="n">
        <f aca="false">B37/6</f>
        <v>81666.6666666667</v>
      </c>
      <c r="G37" s="4"/>
      <c r="J37" s="4" t="s">
        <v>2</v>
      </c>
    </row>
    <row r="38" customFormat="false" ht="23.25" hidden="false" customHeight="false" outlineLevel="0" collapsed="false">
      <c r="A38" s="5" t="s">
        <v>162</v>
      </c>
      <c r="B38" s="6" t="n">
        <v>60000</v>
      </c>
      <c r="C38" s="7"/>
      <c r="D38" s="6" t="n">
        <f aca="false">B38</f>
        <v>60000</v>
      </c>
      <c r="G38" s="5" t="s">
        <v>2</v>
      </c>
      <c r="H38" s="123" t="n">
        <f aca="false">70000*12</f>
        <v>840000</v>
      </c>
      <c r="I38" s="7"/>
      <c r="J38" s="6" t="n">
        <f aca="false">H38/6</f>
        <v>140000</v>
      </c>
    </row>
    <row r="39" customFormat="false" ht="23.25" hidden="false" customHeight="false" outlineLevel="0" collapsed="false">
      <c r="A39" s="5" t="s">
        <v>4</v>
      </c>
      <c r="B39" s="6" t="n">
        <v>300000</v>
      </c>
      <c r="C39" s="7"/>
      <c r="D39" s="6" t="n">
        <f aca="false">B39/6</f>
        <v>50000</v>
      </c>
      <c r="G39" s="5" t="s">
        <v>162</v>
      </c>
      <c r="H39" s="123" t="n">
        <v>80000</v>
      </c>
      <c r="I39" s="7"/>
      <c r="J39" s="6" t="n">
        <f aca="false">H39</f>
        <v>80000</v>
      </c>
    </row>
    <row r="40" customFormat="false" ht="23.25" hidden="false" customHeight="false" outlineLevel="0" collapsed="false">
      <c r="A40" s="21" t="s">
        <v>163</v>
      </c>
      <c r="B40" s="6" t="n">
        <v>0</v>
      </c>
      <c r="C40" s="7"/>
      <c r="D40" s="6" t="n">
        <f aca="false">B40</f>
        <v>0</v>
      </c>
      <c r="G40" s="5" t="s">
        <v>4</v>
      </c>
      <c r="H40" s="123" t="n">
        <v>500000</v>
      </c>
      <c r="I40" s="7"/>
      <c r="J40" s="6" t="n">
        <f aca="false">H40/6</f>
        <v>83333.3333333333</v>
      </c>
    </row>
    <row r="41" customFormat="false" ht="23.25" hidden="false" customHeight="false" outlineLevel="0" collapsed="false">
      <c r="A41" s="5" t="s">
        <v>7</v>
      </c>
      <c r="B41" s="6" t="n">
        <v>25000</v>
      </c>
      <c r="C41" s="7"/>
      <c r="D41" s="6" t="n">
        <f aca="false">B41</f>
        <v>25000</v>
      </c>
      <c r="G41" s="21" t="s">
        <v>163</v>
      </c>
      <c r="H41" s="123" t="n">
        <v>10000</v>
      </c>
      <c r="I41" s="7"/>
      <c r="J41" s="6" t="n">
        <f aca="false">H41</f>
        <v>10000</v>
      </c>
    </row>
    <row r="42" customFormat="false" ht="23.25" hidden="false" customHeight="false" outlineLevel="0" collapsed="false">
      <c r="A42" s="4" t="s">
        <v>8</v>
      </c>
      <c r="B42" s="3"/>
      <c r="D42" s="10" t="n">
        <f aca="false">D43*15%</f>
        <v>32500</v>
      </c>
      <c r="G42" s="5" t="s">
        <v>7</v>
      </c>
      <c r="H42" s="123" t="n">
        <v>25000</v>
      </c>
      <c r="I42" s="7"/>
      <c r="J42" s="6" t="n">
        <f aca="false">H42</f>
        <v>25000</v>
      </c>
    </row>
    <row r="43" customFormat="false" ht="23.25" hidden="false" customHeight="false" outlineLevel="0" collapsed="false">
      <c r="A43" s="4" t="s">
        <v>9</v>
      </c>
      <c r="B43" s="3"/>
      <c r="D43" s="11" t="n">
        <f aca="false">D37+D39+D41+D40+D38</f>
        <v>216666.666666667</v>
      </c>
      <c r="G43" s="4" t="s">
        <v>8</v>
      </c>
      <c r="J43" s="10" t="n">
        <f aca="false">J44*15%</f>
        <v>50750</v>
      </c>
    </row>
    <row r="44" customFormat="false" ht="23.25" hidden="false" customHeight="false" outlineLevel="0" collapsed="false">
      <c r="A44" s="4" t="s">
        <v>19</v>
      </c>
      <c r="B44" s="3"/>
      <c r="D44" s="12" t="n">
        <f aca="false">D43+D42</f>
        <v>249166.666666667</v>
      </c>
      <c r="G44" s="4" t="s">
        <v>9</v>
      </c>
      <c r="J44" s="11" t="n">
        <f aca="false">J38+J40+J42+J41+J39</f>
        <v>338333.333333333</v>
      </c>
    </row>
    <row r="45" customFormat="false" ht="23.25" hidden="false" customHeight="false" outlineLevel="0" collapsed="false">
      <c r="A45" s="4" t="s">
        <v>21</v>
      </c>
      <c r="B45" s="3"/>
      <c r="D45" s="12" t="n">
        <f aca="false">D44/3300</f>
        <v>75.5050505050505</v>
      </c>
      <c r="G45" s="4" t="s">
        <v>19</v>
      </c>
      <c r="J45" s="12" t="n">
        <f aca="false">J44+J43</f>
        <v>389083.333333333</v>
      </c>
    </row>
    <row r="46" customFormat="false" ht="23.25" hidden="false" customHeight="false" outlineLevel="0" collapsed="false">
      <c r="A46" s="4"/>
      <c r="B46" s="3"/>
      <c r="D46" s="12"/>
      <c r="G46" s="4" t="s">
        <v>21</v>
      </c>
      <c r="J46" s="12" t="n">
        <f aca="false">J45/3300</f>
        <v>117.90404040404</v>
      </c>
    </row>
    <row r="48" customFormat="false" ht="23.25" hidden="false" customHeight="false" outlineLevel="0" collapsed="false">
      <c r="A48" s="2" t="s">
        <v>155</v>
      </c>
      <c r="B48" s="3" t="n">
        <v>65</v>
      </c>
      <c r="D48" s="3"/>
    </row>
    <row r="49" customFormat="false" ht="23.25" hidden="false" customHeight="false" outlineLevel="0" collapsed="false">
      <c r="A49" s="4"/>
      <c r="B49" s="3"/>
      <c r="D49" s="4" t="s">
        <v>2</v>
      </c>
    </row>
    <row r="50" customFormat="false" ht="23.25" hidden="false" customHeight="false" outlineLevel="0" collapsed="false">
      <c r="A50" s="5" t="s">
        <v>2</v>
      </c>
      <c r="B50" s="6" t="n">
        <f aca="false">70000*7</f>
        <v>490000</v>
      </c>
      <c r="C50" s="7"/>
      <c r="D50" s="6" t="n">
        <f aca="false">B50/6</f>
        <v>81666.6666666667</v>
      </c>
      <c r="E50" s="81" t="n">
        <f aca="false">D45+D58</f>
        <v>156.55266955267</v>
      </c>
    </row>
    <row r="51" customFormat="false" ht="23.25" hidden="false" customHeight="false" outlineLevel="0" collapsed="false">
      <c r="A51" s="5" t="s">
        <v>162</v>
      </c>
      <c r="B51" s="6" t="n">
        <v>80000</v>
      </c>
      <c r="C51" s="7"/>
      <c r="D51" s="6" t="n">
        <f aca="false">B51</f>
        <v>80000</v>
      </c>
    </row>
    <row r="52" customFormat="false" ht="23.25" hidden="false" customHeight="false" outlineLevel="0" collapsed="false">
      <c r="A52" s="5" t="s">
        <v>4</v>
      </c>
      <c r="B52" s="6" t="n">
        <v>300000</v>
      </c>
      <c r="C52" s="7"/>
      <c r="D52" s="6" t="n">
        <f aca="false">B52/6</f>
        <v>50000</v>
      </c>
    </row>
    <row r="53" customFormat="false" ht="23.25" hidden="false" customHeight="false" outlineLevel="0" collapsed="false">
      <c r="A53" s="21" t="s">
        <v>163</v>
      </c>
      <c r="B53" s="6" t="n">
        <v>10000</v>
      </c>
      <c r="C53" s="7"/>
      <c r="D53" s="6" t="n">
        <f aca="false">B53</f>
        <v>10000</v>
      </c>
    </row>
    <row r="54" customFormat="false" ht="23.25" hidden="false" customHeight="false" outlineLevel="0" collapsed="false">
      <c r="A54" s="5" t="s">
        <v>7</v>
      </c>
      <c r="B54" s="6" t="n">
        <v>25000</v>
      </c>
      <c r="C54" s="7"/>
      <c r="D54" s="6" t="n">
        <f aca="false">B54</f>
        <v>25000</v>
      </c>
    </row>
    <row r="55" customFormat="false" ht="23.25" hidden="false" customHeight="false" outlineLevel="0" collapsed="false">
      <c r="A55" s="4" t="s">
        <v>8</v>
      </c>
      <c r="B55" s="3"/>
      <c r="D55" s="10" t="n">
        <f aca="false">D56*15%</f>
        <v>37000</v>
      </c>
    </row>
    <row r="56" customFormat="false" ht="23.25" hidden="false" customHeight="false" outlineLevel="0" collapsed="false">
      <c r="A56" s="4" t="s">
        <v>9</v>
      </c>
      <c r="B56" s="3"/>
      <c r="D56" s="11" t="n">
        <f aca="false">D50+D52+D54+D53+D51</f>
        <v>246666.666666667</v>
      </c>
    </row>
    <row r="57" customFormat="false" ht="23.25" hidden="false" customHeight="false" outlineLevel="0" collapsed="false">
      <c r="A57" s="4" t="s">
        <v>19</v>
      </c>
      <c r="B57" s="3"/>
      <c r="D57" s="12" t="n">
        <f aca="false">D56+D55</f>
        <v>283666.666666667</v>
      </c>
    </row>
    <row r="58" customFormat="false" ht="23.25" hidden="false" customHeight="false" outlineLevel="0" collapsed="false">
      <c r="A58" s="4" t="s">
        <v>21</v>
      </c>
      <c r="B58" s="3"/>
      <c r="D58" s="12" t="n">
        <f aca="false">D57/3500</f>
        <v>81.0476190476191</v>
      </c>
    </row>
    <row r="61" customFormat="false" ht="23.25" hidden="false" customHeight="false" outlineLevel="0" collapsed="false">
      <c r="A61" s="103" t="s">
        <v>165</v>
      </c>
      <c r="B61" s="102"/>
      <c r="C61" s="104"/>
      <c r="D61" s="105"/>
    </row>
    <row r="62" customFormat="false" ht="23.25" hidden="false" customHeight="false" outlineLevel="0" collapsed="false">
      <c r="A62" s="106"/>
      <c r="B62" s="107"/>
      <c r="C62" s="108"/>
      <c r="D62" s="106" t="s">
        <v>2</v>
      </c>
    </row>
    <row r="63" customFormat="false" ht="23.25" hidden="false" customHeight="false" outlineLevel="0" collapsed="false">
      <c r="A63" s="105" t="s">
        <v>2</v>
      </c>
      <c r="B63" s="102" t="n">
        <v>1100000</v>
      </c>
      <c r="C63" s="104"/>
      <c r="D63" s="102" t="n">
        <f aca="false">B63/6</f>
        <v>183333.333333333</v>
      </c>
    </row>
    <row r="64" customFormat="false" ht="23.25" hidden="false" customHeight="false" outlineLevel="0" collapsed="false">
      <c r="A64" s="105" t="s">
        <v>4</v>
      </c>
      <c r="B64" s="102" t="n">
        <v>550000</v>
      </c>
      <c r="C64" s="104"/>
      <c r="D64" s="102" t="n">
        <f aca="false">B64/6</f>
        <v>91666.6666666667</v>
      </c>
    </row>
    <row r="65" customFormat="false" ht="23.25" hidden="false" customHeight="false" outlineLevel="0" collapsed="false">
      <c r="A65" s="105" t="s">
        <v>166</v>
      </c>
      <c r="B65" s="109" t="n">
        <v>140000</v>
      </c>
      <c r="C65" s="104"/>
      <c r="D65" s="102" t="n">
        <f aca="false">B65</f>
        <v>140000</v>
      </c>
    </row>
    <row r="66" customFormat="false" ht="23.25" hidden="false" customHeight="false" outlineLevel="0" collapsed="false">
      <c r="A66" s="105" t="s">
        <v>167</v>
      </c>
      <c r="B66" s="102" t="n">
        <v>30000</v>
      </c>
      <c r="C66" s="104"/>
      <c r="D66" s="102" t="n">
        <f aca="false">B66</f>
        <v>30000</v>
      </c>
    </row>
    <row r="67" customFormat="false" ht="23.25" hidden="false" customHeight="false" outlineLevel="0" collapsed="false">
      <c r="A67" s="105" t="s">
        <v>7</v>
      </c>
      <c r="B67" s="102" t="n">
        <v>20000</v>
      </c>
      <c r="C67" s="104"/>
      <c r="D67" s="102" t="n">
        <f aca="false">B67</f>
        <v>20000</v>
      </c>
    </row>
    <row r="68" customFormat="false" ht="23.25" hidden="false" customHeight="false" outlineLevel="0" collapsed="false">
      <c r="A68" s="106" t="s">
        <v>8</v>
      </c>
      <c r="B68" s="107"/>
      <c r="C68" s="108"/>
      <c r="D68" s="107" t="n">
        <f aca="false">D69*10%</f>
        <v>46500</v>
      </c>
    </row>
    <row r="69" customFormat="false" ht="23.25" hidden="false" customHeight="false" outlineLevel="0" collapsed="false">
      <c r="A69" s="106" t="s">
        <v>9</v>
      </c>
      <c r="B69" s="107"/>
      <c r="C69" s="108"/>
      <c r="D69" s="110" t="n">
        <f aca="false">D63+D64+D65+D66+D67</f>
        <v>465000</v>
      </c>
    </row>
    <row r="70" customFormat="false" ht="23.25" hidden="false" customHeight="false" outlineLevel="0" collapsed="false">
      <c r="A70" s="106" t="s">
        <v>19</v>
      </c>
      <c r="B70" s="107"/>
      <c r="C70" s="108"/>
      <c r="D70" s="111" t="n">
        <f aca="false">D69+D68</f>
        <v>511500</v>
      </c>
    </row>
    <row r="71" customFormat="false" ht="23.25" hidden="false" customHeight="false" outlineLevel="0" collapsed="false">
      <c r="A71" s="106" t="s">
        <v>21</v>
      </c>
      <c r="B71" s="107"/>
      <c r="C71" s="108"/>
      <c r="D71" s="111" t="n">
        <f aca="false">D70/3200</f>
        <v>159.84375</v>
      </c>
    </row>
    <row r="72" customFormat="false" ht="23.25" hidden="false" customHeight="false" outlineLevel="0" collapsed="false">
      <c r="A72" s="108"/>
      <c r="B72" s="108"/>
      <c r="C72" s="108"/>
      <c r="D72" s="108"/>
    </row>
    <row r="73" customFormat="false" ht="23.25" hidden="false" customHeight="false" outlineLevel="0" collapsed="false">
      <c r="A73" s="108"/>
      <c r="B73" s="108"/>
      <c r="C73" s="108"/>
      <c r="D73" s="108"/>
    </row>
    <row r="75" customFormat="false" ht="23.25" hidden="false" customHeight="false" outlineLevel="0" collapsed="false">
      <c r="A75" s="103" t="s">
        <v>197</v>
      </c>
      <c r="B75" s="102" t="n">
        <v>80</v>
      </c>
      <c r="C75" s="104"/>
      <c r="D75" s="105"/>
      <c r="G75" s="103" t="s">
        <v>158</v>
      </c>
      <c r="H75" s="124" t="n">
        <v>80</v>
      </c>
      <c r="I75" s="104"/>
      <c r="J75" s="105"/>
    </row>
    <row r="76" customFormat="false" ht="23.25" hidden="false" customHeight="false" outlineLevel="0" collapsed="false">
      <c r="A76" s="106"/>
      <c r="B76" s="107"/>
      <c r="C76" s="108"/>
      <c r="D76" s="106" t="s">
        <v>2</v>
      </c>
      <c r="G76" s="106"/>
      <c r="H76" s="125"/>
      <c r="I76" s="108"/>
      <c r="J76" s="106" t="s">
        <v>2</v>
      </c>
    </row>
    <row r="77" customFormat="false" ht="23.25" hidden="false" customHeight="false" outlineLevel="0" collapsed="false">
      <c r="A77" s="105" t="s">
        <v>2</v>
      </c>
      <c r="B77" s="102" t="n">
        <v>1000000</v>
      </c>
      <c r="C77" s="104"/>
      <c r="D77" s="102" t="n">
        <f aca="false">B77/6</f>
        <v>166666.666666667</v>
      </c>
      <c r="G77" s="105" t="s">
        <v>2</v>
      </c>
      <c r="H77" s="124" t="n">
        <v>1400000</v>
      </c>
      <c r="I77" s="104"/>
      <c r="J77" s="102" t="n">
        <f aca="false">H77/6</f>
        <v>233333.333333333</v>
      </c>
    </row>
    <row r="78" customFormat="false" ht="23.25" hidden="false" customHeight="false" outlineLevel="0" collapsed="false">
      <c r="A78" s="105" t="s">
        <v>4</v>
      </c>
      <c r="B78" s="102" t="n">
        <v>450000</v>
      </c>
      <c r="C78" s="104"/>
      <c r="D78" s="102" t="n">
        <f aca="false">B78/6</f>
        <v>75000</v>
      </c>
      <c r="G78" s="105" t="s">
        <v>4</v>
      </c>
      <c r="H78" s="124" t="n">
        <v>450000</v>
      </c>
      <c r="I78" s="104"/>
      <c r="J78" s="102" t="n">
        <f aca="false">H78/6</f>
        <v>75000</v>
      </c>
    </row>
    <row r="79" customFormat="false" ht="23.25" hidden="false" customHeight="false" outlineLevel="0" collapsed="false">
      <c r="A79" s="105" t="s">
        <v>168</v>
      </c>
      <c r="B79" s="109" t="n">
        <v>50000</v>
      </c>
      <c r="C79" s="104"/>
      <c r="D79" s="102" t="n">
        <f aca="false">B79</f>
        <v>50000</v>
      </c>
      <c r="G79" s="105" t="s">
        <v>168</v>
      </c>
      <c r="H79" s="126" t="n">
        <v>50000</v>
      </c>
      <c r="I79" s="104"/>
      <c r="J79" s="102" t="n">
        <f aca="false">H79</f>
        <v>50000</v>
      </c>
    </row>
    <row r="80" customFormat="false" ht="23.25" hidden="false" customHeight="false" outlineLevel="0" collapsed="false">
      <c r="A80" s="105" t="s">
        <v>169</v>
      </c>
      <c r="B80" s="102" t="n">
        <v>100000</v>
      </c>
      <c r="C80" s="104"/>
      <c r="D80" s="102" t="n">
        <f aca="false">B80</f>
        <v>100000</v>
      </c>
      <c r="G80" s="105" t="s">
        <v>169</v>
      </c>
      <c r="H80" s="124" t="n">
        <v>100000</v>
      </c>
      <c r="I80" s="104"/>
      <c r="J80" s="102" t="n">
        <f aca="false">H80</f>
        <v>100000</v>
      </c>
    </row>
    <row r="81" customFormat="false" ht="23.25" hidden="false" customHeight="false" outlineLevel="0" collapsed="false">
      <c r="A81" s="112" t="s">
        <v>7</v>
      </c>
      <c r="B81" s="113" t="n">
        <v>20000</v>
      </c>
      <c r="C81" s="114"/>
      <c r="D81" s="113" t="n">
        <f aca="false">B81</f>
        <v>20000</v>
      </c>
      <c r="G81" s="112" t="s">
        <v>7</v>
      </c>
      <c r="H81" s="127" t="n">
        <v>20000</v>
      </c>
      <c r="I81" s="114"/>
      <c r="J81" s="113" t="n">
        <f aca="false">H81</f>
        <v>20000</v>
      </c>
    </row>
    <row r="82" customFormat="false" ht="23.25" hidden="false" customHeight="false" outlineLevel="0" collapsed="false">
      <c r="A82" s="106" t="s">
        <v>8</v>
      </c>
      <c r="B82" s="107"/>
      <c r="C82" s="108"/>
      <c r="D82" s="107" t="n">
        <f aca="false">D83*10%</f>
        <v>41166.6666666667</v>
      </c>
      <c r="G82" s="106" t="s">
        <v>8</v>
      </c>
      <c r="H82" s="125"/>
      <c r="I82" s="108"/>
      <c r="J82" s="107" t="n">
        <f aca="false">J83*10%</f>
        <v>47833.3333333333</v>
      </c>
    </row>
    <row r="83" customFormat="false" ht="23.25" hidden="false" customHeight="false" outlineLevel="0" collapsed="false">
      <c r="A83" s="106" t="s">
        <v>9</v>
      </c>
      <c r="B83" s="107"/>
      <c r="C83" s="108"/>
      <c r="D83" s="110" t="n">
        <f aca="false">D77+D78+D79+D80+D81</f>
        <v>411666.666666667</v>
      </c>
      <c r="G83" s="106" t="s">
        <v>9</v>
      </c>
      <c r="H83" s="125"/>
      <c r="I83" s="108"/>
      <c r="J83" s="110" t="n">
        <f aca="false">J77+J78+J79+J80+J81</f>
        <v>478333.333333333</v>
      </c>
    </row>
    <row r="84" customFormat="false" ht="23.25" hidden="false" customHeight="false" outlineLevel="0" collapsed="false">
      <c r="A84" s="106" t="s">
        <v>19</v>
      </c>
      <c r="B84" s="107"/>
      <c r="C84" s="108"/>
      <c r="D84" s="111" t="n">
        <f aca="false">D83+D82</f>
        <v>452833.333333333</v>
      </c>
      <c r="G84" s="106" t="s">
        <v>19</v>
      </c>
      <c r="H84" s="125"/>
      <c r="I84" s="108"/>
      <c r="J84" s="111" t="n">
        <f aca="false">J83+J82</f>
        <v>526166.666666667</v>
      </c>
    </row>
    <row r="85" customFormat="false" ht="23.25" hidden="false" customHeight="false" outlineLevel="0" collapsed="false">
      <c r="A85" s="106" t="s">
        <v>21</v>
      </c>
      <c r="B85" s="107"/>
      <c r="C85" s="108"/>
      <c r="D85" s="111" t="n">
        <f aca="false">D84/3200</f>
        <v>141.510416666667</v>
      </c>
      <c r="G85" s="106" t="s">
        <v>21</v>
      </c>
      <c r="H85" s="125"/>
      <c r="I85" s="108"/>
      <c r="J85" s="111" t="n">
        <f aca="false">J84/3200</f>
        <v>164.427083333333</v>
      </c>
    </row>
    <row r="89" customFormat="false" ht="23.25" hidden="false" customHeight="false" outlineLevel="0" collapsed="false">
      <c r="A89" s="2" t="s">
        <v>170</v>
      </c>
      <c r="B89" s="3" t="n">
        <v>25</v>
      </c>
      <c r="D89" s="3"/>
    </row>
    <row r="90" customFormat="false" ht="23.25" hidden="false" customHeight="false" outlineLevel="0" collapsed="false">
      <c r="A90" s="4"/>
      <c r="B90" s="3"/>
      <c r="D90" s="4" t="s">
        <v>2</v>
      </c>
    </row>
    <row r="91" customFormat="false" ht="23.25" hidden="false" customHeight="false" outlineLevel="0" collapsed="false">
      <c r="A91" s="5" t="s">
        <v>2</v>
      </c>
      <c r="B91" s="6" t="n">
        <f aca="false">70000*10</f>
        <v>700000</v>
      </c>
      <c r="C91" s="7"/>
      <c r="D91" s="6" t="n">
        <f aca="false">B91/6</f>
        <v>116666.666666667</v>
      </c>
      <c r="H91" s="119" t="n">
        <f aca="false">SUM(H4,H5,H6,H9,H10,H13,H14)</f>
        <v>640</v>
      </c>
    </row>
    <row r="92" customFormat="false" ht="23.25" hidden="false" customHeight="false" outlineLevel="0" collapsed="false">
      <c r="A92" s="5" t="s">
        <v>4</v>
      </c>
      <c r="B92" s="6" t="n">
        <v>200000</v>
      </c>
      <c r="C92" s="7"/>
      <c r="D92" s="6" t="n">
        <f aca="false">B92/20</f>
        <v>10000</v>
      </c>
    </row>
    <row r="93" customFormat="false" ht="23.25" hidden="false" customHeight="false" outlineLevel="0" collapsed="false">
      <c r="A93" s="5" t="s">
        <v>7</v>
      </c>
      <c r="B93" s="6" t="n">
        <v>10000</v>
      </c>
      <c r="C93" s="7"/>
      <c r="D93" s="6" t="n">
        <f aca="false">B93</f>
        <v>10000</v>
      </c>
    </row>
    <row r="94" customFormat="false" ht="23.25" hidden="false" customHeight="false" outlineLevel="0" collapsed="false">
      <c r="A94" s="4" t="s">
        <v>8</v>
      </c>
      <c r="B94" s="3"/>
      <c r="D94" s="10" t="n">
        <f aca="false">D95*15%</f>
        <v>20500</v>
      </c>
    </row>
    <row r="95" customFormat="false" ht="23.25" hidden="false" customHeight="false" outlineLevel="0" collapsed="false">
      <c r="A95" s="4" t="s">
        <v>9</v>
      </c>
      <c r="B95" s="3"/>
      <c r="D95" s="11" t="n">
        <f aca="false">D91+D92+D93</f>
        <v>136666.666666667</v>
      </c>
    </row>
    <row r="96" customFormat="false" ht="23.25" hidden="false" customHeight="false" outlineLevel="0" collapsed="false">
      <c r="A96" s="4" t="s">
        <v>19</v>
      </c>
      <c r="B96" s="3"/>
      <c r="D96" s="12" t="n">
        <f aca="false">D95+D94</f>
        <v>157166.666666667</v>
      </c>
    </row>
    <row r="97" customFormat="false" ht="23.25" hidden="false" customHeight="false" outlineLevel="0" collapsed="false">
      <c r="A97" s="4" t="s">
        <v>21</v>
      </c>
      <c r="B97" s="3"/>
      <c r="D97" s="12" t="n">
        <f aca="false">D96/3200</f>
        <v>49.1145833333333</v>
      </c>
    </row>
    <row r="100" customFormat="false" ht="23.25" hidden="false" customHeight="false" outlineLevel="0" collapsed="false">
      <c r="A100" s="103" t="s">
        <v>196</v>
      </c>
      <c r="B100" s="102"/>
      <c r="C100" s="104"/>
      <c r="D100" s="105"/>
    </row>
    <row r="101" customFormat="false" ht="23.25" hidden="false" customHeight="false" outlineLevel="0" collapsed="false">
      <c r="A101" s="106"/>
      <c r="B101" s="107"/>
      <c r="C101" s="108"/>
      <c r="D101" s="106" t="s">
        <v>2</v>
      </c>
    </row>
    <row r="102" customFormat="false" ht="23.25" hidden="false" customHeight="false" outlineLevel="0" collapsed="false">
      <c r="A102" s="105" t="s">
        <v>2</v>
      </c>
      <c r="B102" s="102" t="n">
        <v>700000</v>
      </c>
      <c r="C102" s="104"/>
      <c r="D102" s="102" t="n">
        <f aca="false">B102/6</f>
        <v>116666.666666667</v>
      </c>
    </row>
    <row r="103" customFormat="false" ht="23.25" hidden="false" customHeight="false" outlineLevel="0" collapsed="false">
      <c r="A103" s="105" t="s">
        <v>4</v>
      </c>
      <c r="B103" s="102" t="n">
        <v>300000</v>
      </c>
      <c r="C103" s="104"/>
      <c r="D103" s="102" t="n">
        <f aca="false">B103/6</f>
        <v>50000</v>
      </c>
    </row>
    <row r="104" customFormat="false" ht="23.25" hidden="false" customHeight="false" outlineLevel="0" collapsed="false">
      <c r="A104" s="105" t="s">
        <v>201</v>
      </c>
      <c r="B104" s="109" t="n">
        <v>60000</v>
      </c>
      <c r="C104" s="104"/>
      <c r="D104" s="102" t="n">
        <f aca="false">B104</f>
        <v>60000</v>
      </c>
    </row>
    <row r="105" customFormat="false" ht="23.25" hidden="false" customHeight="false" outlineLevel="0" collapsed="false">
      <c r="A105" s="105" t="s">
        <v>202</v>
      </c>
      <c r="B105" s="102" t="n">
        <v>80000</v>
      </c>
      <c r="C105" s="104"/>
      <c r="D105" s="102" t="n">
        <f aca="false">B105</f>
        <v>80000</v>
      </c>
    </row>
    <row r="106" customFormat="false" ht="23.25" hidden="false" customHeight="false" outlineLevel="0" collapsed="false">
      <c r="A106" s="112" t="s">
        <v>7</v>
      </c>
      <c r="B106" s="113" t="n">
        <v>10000</v>
      </c>
      <c r="C106" s="114"/>
      <c r="D106" s="113" t="n">
        <f aca="false">B106</f>
        <v>10000</v>
      </c>
    </row>
    <row r="107" customFormat="false" ht="23.25" hidden="false" customHeight="false" outlineLevel="0" collapsed="false">
      <c r="A107" s="106" t="s">
        <v>8</v>
      </c>
      <c r="B107" s="107"/>
      <c r="C107" s="108"/>
      <c r="D107" s="107" t="n">
        <f aca="false">D108*5%</f>
        <v>15833.3333333333</v>
      </c>
    </row>
    <row r="108" customFormat="false" ht="23.25" hidden="false" customHeight="false" outlineLevel="0" collapsed="false">
      <c r="A108" s="106" t="s">
        <v>9</v>
      </c>
      <c r="B108" s="107"/>
      <c r="C108" s="108"/>
      <c r="D108" s="110" t="n">
        <f aca="false">D102+D103+D104+D105+D106</f>
        <v>316666.666666667</v>
      </c>
    </row>
    <row r="109" customFormat="false" ht="23.25" hidden="false" customHeight="false" outlineLevel="0" collapsed="false">
      <c r="A109" s="106" t="s">
        <v>19</v>
      </c>
      <c r="B109" s="107"/>
      <c r="C109" s="108"/>
      <c r="D109" s="111" t="n">
        <f aca="false">D108+D107</f>
        <v>332500</v>
      </c>
    </row>
    <row r="110" customFormat="false" ht="23.25" hidden="false" customHeight="false" outlineLevel="0" collapsed="false">
      <c r="A110" s="106" t="s">
        <v>21</v>
      </c>
      <c r="B110" s="107"/>
      <c r="C110" s="108"/>
      <c r="D110" s="111" t="n">
        <f aca="false">D109/3200</f>
        <v>103.90625</v>
      </c>
    </row>
  </sheetData>
  <mergeCells count="3">
    <mergeCell ref="A3:D3"/>
    <mergeCell ref="G3:H3"/>
    <mergeCell ref="A4:D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5:H48"/>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B21" activeCellId="0" sqref="B21"/>
    </sheetView>
  </sheetViews>
  <sheetFormatPr defaultColWidth="10.6015625" defaultRowHeight="14.25" customHeight="false" zeroHeight="false" outlineLevelRow="0" outlineLevelCol="0"/>
  <cols>
    <col collapsed="false" customWidth="true" hidden="false" outlineLevel="0" max="2" min="2" style="0" width="55.44"/>
    <col collapsed="false" customWidth="true" hidden="false" outlineLevel="0" max="4" min="3" style="0" width="13.44"/>
    <col collapsed="false" customWidth="true" hidden="false" outlineLevel="0" max="7" min="7" style="0" width="15.89"/>
    <col collapsed="false" customWidth="true" hidden="false" outlineLevel="0" max="8" min="8" style="0" width="13.11"/>
  </cols>
  <sheetData>
    <row r="5" customFormat="false" ht="19.7" hidden="false" customHeight="false" outlineLevel="0" collapsed="false">
      <c r="B5" s="2" t="s">
        <v>203</v>
      </c>
      <c r="C5" s="3"/>
      <c r="D5" s="3"/>
      <c r="G5" s="128" t="s">
        <v>204</v>
      </c>
      <c r="H5" s="128"/>
    </row>
    <row r="6" customFormat="false" ht="19.7" hidden="false" customHeight="false" outlineLevel="0" collapsed="false">
      <c r="B6" s="4"/>
      <c r="C6" s="3"/>
      <c r="D6" s="4" t="s">
        <v>2</v>
      </c>
      <c r="G6" s="129" t="s">
        <v>205</v>
      </c>
      <c r="H6" s="129"/>
    </row>
    <row r="7" customFormat="false" ht="19.7" hidden="false" customHeight="false" outlineLevel="0" collapsed="false">
      <c r="B7" s="5" t="s">
        <v>13</v>
      </c>
      <c r="C7" s="6" t="n">
        <v>80000</v>
      </c>
      <c r="D7" s="6" t="n">
        <f aca="false">C7/2</f>
        <v>40000</v>
      </c>
      <c r="G7" s="129" t="s">
        <v>206</v>
      </c>
      <c r="H7" s="129" t="s">
        <v>207</v>
      </c>
    </row>
    <row r="8" customFormat="false" ht="19.7" hidden="false" customHeight="false" outlineLevel="0" collapsed="false">
      <c r="B8" s="5" t="s">
        <v>4</v>
      </c>
      <c r="C8" s="6" t="n">
        <v>300000</v>
      </c>
      <c r="D8" s="6" t="n">
        <f aca="false">C8/2</f>
        <v>150000</v>
      </c>
      <c r="G8" s="130" t="s">
        <v>208</v>
      </c>
      <c r="H8" s="131" t="n">
        <v>475000</v>
      </c>
    </row>
    <row r="9" customFormat="false" ht="19.7" hidden="false" customHeight="false" outlineLevel="0" collapsed="false">
      <c r="B9" s="21" t="s">
        <v>22</v>
      </c>
      <c r="C9" s="6" t="n">
        <v>100000</v>
      </c>
      <c r="D9" s="6" t="n">
        <f aca="false">C9/2</f>
        <v>50000</v>
      </c>
      <c r="G9" s="129" t="s">
        <v>209</v>
      </c>
      <c r="H9" s="131" t="n">
        <v>431000</v>
      </c>
    </row>
    <row r="10" customFormat="false" ht="19.7" hidden="false" customHeight="false" outlineLevel="0" collapsed="false">
      <c r="B10" s="5" t="s">
        <v>210</v>
      </c>
      <c r="C10" s="6" t="n">
        <v>15000</v>
      </c>
      <c r="D10" s="6" t="n">
        <f aca="false">C10</f>
        <v>15000</v>
      </c>
      <c r="G10" s="129" t="s">
        <v>211</v>
      </c>
      <c r="H10" s="131" t="n">
        <v>340000</v>
      </c>
    </row>
    <row r="11" customFormat="false" ht="19.7" hidden="false" customHeight="false" outlineLevel="0" collapsed="false">
      <c r="B11" s="5" t="s">
        <v>212</v>
      </c>
      <c r="C11" s="6" t="n">
        <v>70000</v>
      </c>
      <c r="D11" s="6" t="n">
        <f aca="false">C11</f>
        <v>70000</v>
      </c>
    </row>
    <row r="12" customFormat="false" ht="19.7" hidden="false" customHeight="false" outlineLevel="0" collapsed="false">
      <c r="B12" s="5" t="s">
        <v>213</v>
      </c>
      <c r="C12" s="6" t="n">
        <v>20000</v>
      </c>
      <c r="D12" s="6" t="n">
        <f aca="false">C12</f>
        <v>20000</v>
      </c>
    </row>
    <row r="13" customFormat="false" ht="19.7" hidden="false" customHeight="false" outlineLevel="0" collapsed="false">
      <c r="B13" s="5" t="s">
        <v>102</v>
      </c>
      <c r="C13" s="6" t="n">
        <v>70000</v>
      </c>
      <c r="D13" s="6" t="n">
        <f aca="false">C13</f>
        <v>70000</v>
      </c>
    </row>
    <row r="14" customFormat="false" ht="19.7" hidden="false" customHeight="false" outlineLevel="0" collapsed="false">
      <c r="B14" s="4" t="s">
        <v>8</v>
      </c>
      <c r="C14" s="3"/>
      <c r="D14" s="10" t="n">
        <f aca="false">D15*15%</f>
        <v>62250</v>
      </c>
    </row>
    <row r="15" customFormat="false" ht="19.7" hidden="false" customHeight="false" outlineLevel="0" collapsed="false">
      <c r="B15" s="4" t="s">
        <v>9</v>
      </c>
      <c r="C15" s="3"/>
      <c r="D15" s="11" t="n">
        <f aca="false">D7+D8+D11+D10+D12+D13+D9</f>
        <v>415000</v>
      </c>
    </row>
    <row r="16" customFormat="false" ht="19.7" hidden="false" customHeight="false" outlineLevel="0" collapsed="false">
      <c r="B16" s="4" t="s">
        <v>19</v>
      </c>
      <c r="C16" s="3"/>
      <c r="D16" s="12" t="n">
        <f aca="false">D15+D14</f>
        <v>477250</v>
      </c>
    </row>
    <row r="17" customFormat="false" ht="19.7" hidden="false" customHeight="false" outlineLevel="0" collapsed="false">
      <c r="B17" s="4" t="s">
        <v>21</v>
      </c>
      <c r="C17" s="3"/>
      <c r="D17" s="12" t="n">
        <f aca="false">D16/3500</f>
        <v>136.357142857143</v>
      </c>
    </row>
    <row r="21" customFormat="false" ht="19.7" hidden="false" customHeight="false" outlineLevel="0" collapsed="false">
      <c r="B21" s="2" t="s">
        <v>203</v>
      </c>
      <c r="C21" s="3"/>
      <c r="D21" s="3"/>
    </row>
    <row r="22" customFormat="false" ht="19.7" hidden="false" customHeight="false" outlineLevel="0" collapsed="false">
      <c r="B22" s="4"/>
      <c r="C22" s="3"/>
      <c r="D22" s="4" t="s">
        <v>2</v>
      </c>
    </row>
    <row r="23" customFormat="false" ht="19.7" hidden="false" customHeight="false" outlineLevel="0" collapsed="false">
      <c r="B23" s="5" t="s">
        <v>13</v>
      </c>
      <c r="C23" s="6" t="n">
        <v>200000</v>
      </c>
      <c r="D23" s="6" t="n">
        <f aca="false">C23/4</f>
        <v>50000</v>
      </c>
    </row>
    <row r="24" customFormat="false" ht="19.7" hidden="false" customHeight="false" outlineLevel="0" collapsed="false">
      <c r="B24" s="5" t="s">
        <v>4</v>
      </c>
      <c r="C24" s="6" t="n">
        <v>400000</v>
      </c>
      <c r="D24" s="6" t="n">
        <f aca="false">C24/4</f>
        <v>100000</v>
      </c>
    </row>
    <row r="25" customFormat="false" ht="19.7" hidden="false" customHeight="false" outlineLevel="0" collapsed="false">
      <c r="B25" s="21" t="s">
        <v>22</v>
      </c>
      <c r="C25" s="6" t="n">
        <v>100000</v>
      </c>
      <c r="D25" s="6" t="n">
        <f aca="false">C25/4</f>
        <v>25000</v>
      </c>
    </row>
    <row r="26" customFormat="false" ht="19.7" hidden="false" customHeight="false" outlineLevel="0" collapsed="false">
      <c r="B26" s="5" t="s">
        <v>210</v>
      </c>
      <c r="C26" s="6" t="n">
        <v>15000</v>
      </c>
      <c r="D26" s="6" t="n">
        <f aca="false">C26</f>
        <v>15000</v>
      </c>
    </row>
    <row r="27" customFormat="false" ht="19.7" hidden="false" customHeight="false" outlineLevel="0" collapsed="false">
      <c r="B27" s="5" t="s">
        <v>212</v>
      </c>
      <c r="C27" s="6" t="n">
        <v>70000</v>
      </c>
      <c r="D27" s="6" t="n">
        <f aca="false">C27</f>
        <v>70000</v>
      </c>
    </row>
    <row r="28" customFormat="false" ht="19.7" hidden="false" customHeight="false" outlineLevel="0" collapsed="false">
      <c r="B28" s="5" t="s">
        <v>213</v>
      </c>
      <c r="C28" s="6" t="n">
        <v>20000</v>
      </c>
      <c r="D28" s="6" t="n">
        <f aca="false">C28</f>
        <v>20000</v>
      </c>
    </row>
    <row r="29" customFormat="false" ht="19.7" hidden="false" customHeight="false" outlineLevel="0" collapsed="false">
      <c r="B29" s="5" t="s">
        <v>102</v>
      </c>
      <c r="C29" s="6" t="n">
        <v>70000</v>
      </c>
      <c r="D29" s="6" t="n">
        <f aca="false">C29</f>
        <v>70000</v>
      </c>
    </row>
    <row r="30" customFormat="false" ht="19.7" hidden="false" customHeight="false" outlineLevel="0" collapsed="false">
      <c r="B30" s="4" t="s">
        <v>8</v>
      </c>
      <c r="C30" s="3"/>
      <c r="D30" s="10" t="n">
        <f aca="false">D31*15%</f>
        <v>52500</v>
      </c>
    </row>
    <row r="31" customFormat="false" ht="19.7" hidden="false" customHeight="false" outlineLevel="0" collapsed="false">
      <c r="B31" s="4" t="s">
        <v>9</v>
      </c>
      <c r="C31" s="3"/>
      <c r="D31" s="11" t="n">
        <f aca="false">D23+D24+D27+D26+D28+D29+D25</f>
        <v>350000</v>
      </c>
    </row>
    <row r="32" customFormat="false" ht="19.7" hidden="false" customHeight="false" outlineLevel="0" collapsed="false">
      <c r="B32" s="4" t="s">
        <v>19</v>
      </c>
      <c r="C32" s="3"/>
      <c r="D32" s="12" t="n">
        <f aca="false">D31+D30</f>
        <v>402500</v>
      </c>
    </row>
    <row r="33" customFormat="false" ht="19.7" hidden="false" customHeight="false" outlineLevel="0" collapsed="false">
      <c r="B33" s="4" t="s">
        <v>21</v>
      </c>
      <c r="C33" s="3"/>
      <c r="D33" s="12" t="n">
        <f aca="false">D32/3500</f>
        <v>115</v>
      </c>
    </row>
    <row r="36" customFormat="false" ht="19.7" hidden="false" customHeight="false" outlineLevel="0" collapsed="false">
      <c r="B36" s="2" t="s">
        <v>203</v>
      </c>
      <c r="C36" s="3"/>
      <c r="D36" s="3"/>
    </row>
    <row r="37" customFormat="false" ht="19.7" hidden="false" customHeight="false" outlineLevel="0" collapsed="false">
      <c r="B37" s="4"/>
      <c r="C37" s="3"/>
      <c r="D37" s="4" t="s">
        <v>2</v>
      </c>
    </row>
    <row r="38" customFormat="false" ht="19.7" hidden="false" customHeight="false" outlineLevel="0" collapsed="false">
      <c r="B38" s="5" t="s">
        <v>13</v>
      </c>
      <c r="C38" s="6" t="n">
        <v>200000</v>
      </c>
      <c r="D38" s="6" t="n">
        <f aca="false">C38/6</f>
        <v>33333.3333333333</v>
      </c>
    </row>
    <row r="39" customFormat="false" ht="19.7" hidden="false" customHeight="false" outlineLevel="0" collapsed="false">
      <c r="B39" s="5" t="s">
        <v>4</v>
      </c>
      <c r="C39" s="6" t="n">
        <v>400000</v>
      </c>
      <c r="D39" s="6" t="n">
        <f aca="false">C39/6</f>
        <v>66666.6666666667</v>
      </c>
    </row>
    <row r="40" customFormat="false" ht="19.7" hidden="false" customHeight="false" outlineLevel="0" collapsed="false">
      <c r="B40" s="21" t="s">
        <v>22</v>
      </c>
      <c r="C40" s="6" t="n">
        <v>100000</v>
      </c>
      <c r="D40" s="6" t="n">
        <f aca="false">C40/6</f>
        <v>16666.6666666667</v>
      </c>
    </row>
    <row r="41" customFormat="false" ht="19.7" hidden="false" customHeight="false" outlineLevel="0" collapsed="false">
      <c r="B41" s="5" t="s">
        <v>210</v>
      </c>
      <c r="C41" s="6" t="n">
        <v>15000</v>
      </c>
      <c r="D41" s="6" t="n">
        <f aca="false">C41</f>
        <v>15000</v>
      </c>
    </row>
    <row r="42" customFormat="false" ht="19.7" hidden="false" customHeight="false" outlineLevel="0" collapsed="false">
      <c r="B42" s="5" t="s">
        <v>212</v>
      </c>
      <c r="C42" s="6" t="n">
        <v>70000</v>
      </c>
      <c r="D42" s="6" t="n">
        <f aca="false">C42</f>
        <v>70000</v>
      </c>
    </row>
    <row r="43" customFormat="false" ht="19.7" hidden="false" customHeight="false" outlineLevel="0" collapsed="false">
      <c r="B43" s="5" t="s">
        <v>213</v>
      </c>
      <c r="C43" s="6" t="n">
        <v>20000</v>
      </c>
      <c r="D43" s="6" t="n">
        <f aca="false">C43</f>
        <v>20000</v>
      </c>
    </row>
    <row r="44" customFormat="false" ht="19.7" hidden="false" customHeight="false" outlineLevel="0" collapsed="false">
      <c r="B44" s="5" t="s">
        <v>102</v>
      </c>
      <c r="C44" s="6" t="n">
        <v>70000</v>
      </c>
      <c r="D44" s="6" t="n">
        <f aca="false">C44</f>
        <v>70000</v>
      </c>
    </row>
    <row r="45" customFormat="false" ht="19.7" hidden="false" customHeight="false" outlineLevel="0" collapsed="false">
      <c r="B45" s="4" t="s">
        <v>8</v>
      </c>
      <c r="C45" s="3"/>
      <c r="D45" s="10" t="n">
        <f aca="false">D46*15%</f>
        <v>43750</v>
      </c>
    </row>
    <row r="46" customFormat="false" ht="19.7" hidden="false" customHeight="false" outlineLevel="0" collapsed="false">
      <c r="B46" s="4" t="s">
        <v>9</v>
      </c>
      <c r="C46" s="3"/>
      <c r="D46" s="11" t="n">
        <f aca="false">D38+D39+D42+D41+D43+D44+D40</f>
        <v>291666.666666667</v>
      </c>
    </row>
    <row r="47" customFormat="false" ht="19.7" hidden="false" customHeight="false" outlineLevel="0" collapsed="false">
      <c r="B47" s="4" t="s">
        <v>19</v>
      </c>
      <c r="C47" s="3"/>
      <c r="D47" s="12" t="n">
        <f aca="false">D46+D45</f>
        <v>335416.666666667</v>
      </c>
    </row>
    <row r="48" customFormat="false" ht="19.7" hidden="false" customHeight="false" outlineLevel="0" collapsed="false">
      <c r="B48" s="4" t="s">
        <v>21</v>
      </c>
      <c r="C48" s="3"/>
      <c r="D48" s="12" t="n">
        <f aca="false">D47/3500</f>
        <v>95.8333333333333</v>
      </c>
    </row>
  </sheetData>
  <mergeCells count="2">
    <mergeCell ref="G5:H5"/>
    <mergeCell ref="G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L109"/>
  <sheetViews>
    <sheetView showFormulas="false" showGridLines="true" showRowColHeaders="true" showZeros="true" rightToLeft="false" tabSelected="true" showOutlineSymbols="true" defaultGridColor="true" view="normal" topLeftCell="A69" colorId="64" zoomScale="100" zoomScaleNormal="100" zoomScalePageLayoutView="100" workbookViewId="0">
      <selection pane="topLeft" activeCell="D69" activeCellId="0" sqref="D69"/>
    </sheetView>
  </sheetViews>
  <sheetFormatPr defaultColWidth="10.6015625" defaultRowHeight="14.25" customHeight="false" zeroHeight="false" outlineLevelRow="0" outlineLevelCol="0"/>
  <cols>
    <col collapsed="false" customWidth="true" hidden="false" outlineLevel="0" max="2" min="2" style="0" width="11.43"/>
    <col collapsed="false" customWidth="true" hidden="false" outlineLevel="0" max="3" min="3" style="0" width="21.89"/>
    <col collapsed="false" customWidth="true" hidden="false" outlineLevel="0" max="4" min="4" style="60" width="52.22"/>
    <col collapsed="false" customWidth="true" hidden="false" outlineLevel="0" max="5" min="5" style="60" width="13.72"/>
    <col collapsed="false" customWidth="true" hidden="false" outlineLevel="0" max="6" min="6" style="0" width="38.87"/>
    <col collapsed="false" customWidth="true" hidden="false" outlineLevel="0" max="7" min="7" style="0" width="15.78"/>
    <col collapsed="false" customWidth="true" hidden="false" outlineLevel="0" max="9" min="9" style="0" width="15.78"/>
    <col collapsed="false" customWidth="true" hidden="false" outlineLevel="0" max="11" min="11" style="0" width="21.66"/>
  </cols>
  <sheetData>
    <row r="4" customFormat="false" ht="17.35" hidden="false" customHeight="false" outlineLevel="0" collapsed="false">
      <c r="B4" s="38" t="s">
        <v>54</v>
      </c>
      <c r="C4" s="39" t="s">
        <v>55</v>
      </c>
      <c r="D4" s="132" t="s">
        <v>56</v>
      </c>
      <c r="E4" s="132"/>
    </row>
    <row r="5" customFormat="false" ht="14.25" hidden="false" customHeight="false" outlineLevel="0" collapsed="false">
      <c r="B5" s="42" t="n">
        <v>46152</v>
      </c>
      <c r="C5" s="43" t="s">
        <v>57</v>
      </c>
      <c r="D5" s="133"/>
      <c r="E5" s="133"/>
    </row>
    <row r="6" customFormat="false" ht="26.5" hidden="false" customHeight="false" outlineLevel="0" collapsed="false">
      <c r="B6" s="42" t="n">
        <v>46153</v>
      </c>
      <c r="C6" s="46" t="s">
        <v>214</v>
      </c>
      <c r="D6" s="134" t="s">
        <v>215</v>
      </c>
      <c r="E6" s="134"/>
    </row>
    <row r="7" customFormat="false" ht="39.15" hidden="false" customHeight="false" outlineLevel="0" collapsed="false">
      <c r="B7" s="42" t="n">
        <v>46154</v>
      </c>
      <c r="C7" s="46" t="s">
        <v>156</v>
      </c>
      <c r="D7" s="134" t="s">
        <v>216</v>
      </c>
      <c r="E7" s="134"/>
    </row>
    <row r="8" customFormat="false" ht="14.25" hidden="false" customHeight="false" outlineLevel="0" collapsed="false">
      <c r="B8" s="42" t="n">
        <v>46155</v>
      </c>
      <c r="C8" s="46" t="s">
        <v>217</v>
      </c>
      <c r="D8" s="134" t="s">
        <v>218</v>
      </c>
      <c r="E8" s="134"/>
    </row>
    <row r="9" customFormat="false" ht="26.5" hidden="false" customHeight="false" outlineLevel="0" collapsed="false">
      <c r="B9" s="42" t="n">
        <v>46156</v>
      </c>
      <c r="C9" s="135" t="s">
        <v>219</v>
      </c>
      <c r="D9" s="136" t="s">
        <v>220</v>
      </c>
      <c r="E9" s="136"/>
    </row>
    <row r="10" customFormat="false" ht="14.25" hidden="false" customHeight="false" outlineLevel="0" collapsed="false">
      <c r="B10" s="42" t="n">
        <v>46157</v>
      </c>
      <c r="C10" s="49" t="s">
        <v>66</v>
      </c>
      <c r="D10" s="137"/>
      <c r="E10" s="137"/>
    </row>
    <row r="13" customFormat="false" ht="17.35" hidden="false" customHeight="false" outlineLevel="0" collapsed="false">
      <c r="B13" s="38" t="s">
        <v>54</v>
      </c>
      <c r="C13" s="39" t="s">
        <v>55</v>
      </c>
      <c r="D13" s="132" t="s">
        <v>56</v>
      </c>
      <c r="E13" s="132"/>
    </row>
    <row r="14" customFormat="false" ht="14.25" hidden="false" customHeight="false" outlineLevel="0" collapsed="false">
      <c r="B14" s="42" t="n">
        <v>46172</v>
      </c>
      <c r="C14" s="43" t="s">
        <v>57</v>
      </c>
      <c r="D14" s="133" t="s">
        <v>58</v>
      </c>
      <c r="E14" s="133"/>
    </row>
    <row r="15" customFormat="false" ht="26.5" hidden="false" customHeight="false" outlineLevel="0" collapsed="false">
      <c r="A15" s="0" t="s">
        <v>221</v>
      </c>
      <c r="B15" s="42" t="n">
        <v>46172</v>
      </c>
      <c r="C15" s="46" t="s">
        <v>60</v>
      </c>
      <c r="D15" s="136" t="s">
        <v>61</v>
      </c>
      <c r="E15" s="136"/>
    </row>
    <row r="16" customFormat="false" ht="89.75" hidden="false" customHeight="false" outlineLevel="0" collapsed="false">
      <c r="A16" s="0" t="s">
        <v>222</v>
      </c>
      <c r="B16" s="42" t="n">
        <v>46173</v>
      </c>
      <c r="C16" s="46" t="s">
        <v>156</v>
      </c>
      <c r="D16" s="136" t="s">
        <v>77</v>
      </c>
      <c r="E16" s="136"/>
    </row>
    <row r="17" customFormat="false" ht="89.75" hidden="false" customHeight="false" outlineLevel="0" collapsed="false">
      <c r="A17" s="0" t="s">
        <v>223</v>
      </c>
      <c r="B17" s="42" t="n">
        <v>46174</v>
      </c>
      <c r="C17" s="46" t="s">
        <v>27</v>
      </c>
      <c r="D17" s="136" t="s">
        <v>65</v>
      </c>
      <c r="E17" s="136"/>
    </row>
    <row r="18" customFormat="false" ht="89.75" hidden="false" customHeight="false" outlineLevel="0" collapsed="false">
      <c r="A18" s="0" t="s">
        <v>224</v>
      </c>
      <c r="B18" s="42" t="n">
        <v>46175</v>
      </c>
      <c r="C18" s="138" t="s">
        <v>99</v>
      </c>
      <c r="D18" s="139" t="s">
        <v>225</v>
      </c>
      <c r="E18" s="139"/>
    </row>
    <row r="19" customFormat="false" ht="26.5" hidden="false" customHeight="false" outlineLevel="0" collapsed="false">
      <c r="A19" s="0" t="s">
        <v>226</v>
      </c>
      <c r="B19" s="42" t="n">
        <v>46176</v>
      </c>
      <c r="C19" s="138" t="s">
        <v>99</v>
      </c>
      <c r="D19" s="139" t="s">
        <v>61</v>
      </c>
      <c r="E19" s="139"/>
    </row>
    <row r="20" customFormat="false" ht="77.1" hidden="false" customHeight="false" outlineLevel="0" collapsed="false">
      <c r="A20" s="0" t="s">
        <v>227</v>
      </c>
      <c r="B20" s="42" t="n">
        <v>46177</v>
      </c>
      <c r="C20" s="138" t="s">
        <v>228</v>
      </c>
      <c r="D20" s="139" t="s">
        <v>79</v>
      </c>
      <c r="E20" s="139"/>
    </row>
    <row r="21" customFormat="false" ht="14.25" hidden="false" customHeight="false" outlineLevel="0" collapsed="false">
      <c r="A21" s="0" t="s">
        <v>229</v>
      </c>
      <c r="B21" s="42" t="n">
        <v>46178</v>
      </c>
      <c r="C21" s="49" t="s">
        <v>66</v>
      </c>
      <c r="D21" s="137" t="s">
        <v>67</v>
      </c>
      <c r="E21" s="137"/>
    </row>
    <row r="22" customFormat="false" ht="14.25" hidden="false" customHeight="false" outlineLevel="0" collapsed="false">
      <c r="B22" s="42"/>
      <c r="D22" s="0"/>
      <c r="E22" s="0"/>
    </row>
    <row r="26" customFormat="false" ht="17.35" hidden="false" customHeight="false" outlineLevel="0" collapsed="false">
      <c r="B26" s="38" t="s">
        <v>54</v>
      </c>
      <c r="C26" s="39" t="s">
        <v>55</v>
      </c>
      <c r="D26" s="132" t="s">
        <v>56</v>
      </c>
      <c r="E26" s="132"/>
      <c r="K26" s="140" t="s">
        <v>142</v>
      </c>
      <c r="L26" s="141" t="s">
        <v>230</v>
      </c>
    </row>
    <row r="27" customFormat="false" ht="26.5" hidden="false" customHeight="false" outlineLevel="0" collapsed="false">
      <c r="B27" s="42" t="n">
        <v>46172</v>
      </c>
      <c r="C27" s="142" t="s">
        <v>57</v>
      </c>
      <c r="D27" s="133" t="s">
        <v>231</v>
      </c>
      <c r="E27" s="133"/>
      <c r="F27" s="13" t="s">
        <v>11</v>
      </c>
      <c r="G27" s="14" t="n">
        <v>25</v>
      </c>
      <c r="I27" s="3"/>
      <c r="K27" s="143" t="s">
        <v>11</v>
      </c>
      <c r="L27" s="144" t="n">
        <v>35</v>
      </c>
    </row>
    <row r="28" customFormat="false" ht="51.8" hidden="false" customHeight="false" outlineLevel="0" collapsed="false">
      <c r="B28" s="42" t="n">
        <v>46172</v>
      </c>
      <c r="C28" s="145" t="s">
        <v>228</v>
      </c>
      <c r="D28" s="139" t="s">
        <v>232</v>
      </c>
      <c r="E28" s="139"/>
      <c r="F28" s="4"/>
      <c r="G28" s="3"/>
      <c r="I28" s="4" t="s">
        <v>2</v>
      </c>
      <c r="K28" s="143" t="s">
        <v>14</v>
      </c>
      <c r="L28" s="144" t="n">
        <v>140</v>
      </c>
    </row>
    <row r="29" customFormat="false" ht="19.7" hidden="false" customHeight="false" outlineLevel="0" collapsed="false">
      <c r="B29" s="42" t="n">
        <v>46173</v>
      </c>
      <c r="C29" s="145" t="s">
        <v>156</v>
      </c>
      <c r="D29" s="136" t="s">
        <v>233</v>
      </c>
      <c r="E29" s="136"/>
      <c r="F29" s="5" t="s">
        <v>2</v>
      </c>
      <c r="G29" s="6" t="n">
        <v>200000</v>
      </c>
      <c r="I29" s="6" t="n">
        <f aca="false">G29/4</f>
        <v>50000</v>
      </c>
      <c r="K29" s="143" t="s">
        <v>18</v>
      </c>
      <c r="L29" s="144" t="n">
        <v>90</v>
      </c>
    </row>
    <row r="30" customFormat="false" ht="19.7" hidden="false" customHeight="false" outlineLevel="0" collapsed="false">
      <c r="F30" s="5" t="s">
        <v>7</v>
      </c>
      <c r="G30" s="6" t="n">
        <v>10000</v>
      </c>
      <c r="I30" s="6" t="n">
        <f aca="false">G30</f>
        <v>10000</v>
      </c>
      <c r="K30" s="143" t="s">
        <v>40</v>
      </c>
      <c r="L30" s="144" t="n">
        <v>200</v>
      </c>
    </row>
    <row r="31" customFormat="false" ht="19.7" hidden="false" customHeight="false" outlineLevel="0" collapsed="false">
      <c r="F31" s="5" t="s">
        <v>4</v>
      </c>
      <c r="G31" s="6" t="n">
        <v>100000</v>
      </c>
      <c r="I31" s="6" t="n">
        <f aca="false">G31/4</f>
        <v>25000</v>
      </c>
      <c r="K31" s="146" t="s">
        <v>45</v>
      </c>
      <c r="L31" s="147" t="n">
        <v>100</v>
      </c>
    </row>
    <row r="32" customFormat="false" ht="19.7" hidden="false" customHeight="false" outlineLevel="0" collapsed="false">
      <c r="F32" s="4" t="s">
        <v>15</v>
      </c>
      <c r="G32" s="3"/>
      <c r="I32" s="10" t="n">
        <f aca="false">G32/4</f>
        <v>0</v>
      </c>
      <c r="L32" s="0" t="n">
        <f aca="false">SUM(L27:L31)</f>
        <v>565</v>
      </c>
    </row>
    <row r="33" customFormat="false" ht="19.7" hidden="false" customHeight="false" outlineLevel="0" collapsed="false">
      <c r="F33" s="4" t="s">
        <v>8</v>
      </c>
      <c r="G33" s="3"/>
      <c r="I33" s="10" t="n">
        <f aca="false">I34*20%</f>
        <v>17000</v>
      </c>
      <c r="L33" s="0" t="n">
        <f aca="false">L27+L28+L29+L30</f>
        <v>465</v>
      </c>
    </row>
    <row r="34" customFormat="false" ht="19.7" hidden="false" customHeight="false" outlineLevel="0" collapsed="false">
      <c r="F34" s="4" t="s">
        <v>9</v>
      </c>
      <c r="G34" s="3"/>
      <c r="I34" s="11" t="n">
        <f aca="false">I29+I30+I31+I32</f>
        <v>85000</v>
      </c>
      <c r="L34" s="0" t="n">
        <f aca="false">L33*4</f>
        <v>1860</v>
      </c>
    </row>
    <row r="35" customFormat="false" ht="19.7" hidden="false" customHeight="false" outlineLevel="0" collapsed="false">
      <c r="F35" s="4" t="s">
        <v>19</v>
      </c>
      <c r="G35" s="3"/>
      <c r="I35" s="12" t="n">
        <f aca="false">I34+I33</f>
        <v>102000</v>
      </c>
      <c r="L35" s="0" t="n">
        <f aca="false">1655-L34</f>
        <v>-205</v>
      </c>
    </row>
    <row r="36" customFormat="false" ht="19.7" hidden="false" customHeight="false" outlineLevel="0" collapsed="false">
      <c r="F36" s="4" t="s">
        <v>21</v>
      </c>
      <c r="G36" s="3"/>
      <c r="I36" s="22" t="n">
        <f aca="false">I35/3200</f>
        <v>31.875</v>
      </c>
    </row>
    <row r="37" customFormat="false" ht="14.25" hidden="false" customHeight="false" outlineLevel="0" collapsed="false">
      <c r="K37" s="0" t="n">
        <f aca="false">G29+G43+G59+G75</f>
        <v>2150000</v>
      </c>
    </row>
    <row r="41" customFormat="false" ht="19.7" hidden="false" customHeight="false" outlineLevel="0" collapsed="false">
      <c r="F41" s="2" t="s">
        <v>14</v>
      </c>
      <c r="G41" s="3" t="n">
        <v>90</v>
      </c>
      <c r="I41" s="3"/>
      <c r="K41" s="0" t="n">
        <f aca="false">G30+G49+G79</f>
        <v>70000</v>
      </c>
    </row>
    <row r="42" customFormat="false" ht="19.7" hidden="false" customHeight="false" outlineLevel="0" collapsed="false">
      <c r="F42" s="4"/>
      <c r="G42" s="3"/>
      <c r="I42" s="4" t="s">
        <v>2</v>
      </c>
      <c r="K42" s="0" t="n">
        <f aca="false">K41*4</f>
        <v>280000</v>
      </c>
    </row>
    <row r="43" customFormat="false" ht="19.7" hidden="false" customHeight="false" outlineLevel="0" collapsed="false">
      <c r="F43" s="5" t="s">
        <v>2</v>
      </c>
      <c r="G43" s="6" t="n">
        <v>400000</v>
      </c>
      <c r="H43" s="7"/>
      <c r="I43" s="6" t="n">
        <f aca="false">G43/4</f>
        <v>100000</v>
      </c>
    </row>
    <row r="44" customFormat="false" ht="19.7" hidden="false" customHeight="false" outlineLevel="0" collapsed="false">
      <c r="F44" s="5" t="s">
        <v>4</v>
      </c>
      <c r="G44" s="6" t="n">
        <v>300000</v>
      </c>
      <c r="H44" s="7"/>
      <c r="I44" s="6" t="n">
        <f aca="false">G44/4</f>
        <v>75000</v>
      </c>
    </row>
    <row r="45" customFormat="false" ht="19.7" hidden="false" customHeight="false" outlineLevel="0" collapsed="false">
      <c r="F45" s="21" t="s">
        <v>22</v>
      </c>
      <c r="G45" s="6"/>
      <c r="H45" s="7"/>
      <c r="I45" s="6" t="n">
        <f aca="false">G45/20</f>
        <v>0</v>
      </c>
    </row>
    <row r="46" customFormat="false" ht="19.7" hidden="false" customHeight="false" outlineLevel="0" collapsed="false">
      <c r="F46" s="5" t="s">
        <v>23</v>
      </c>
      <c r="G46" s="6" t="n">
        <v>40000</v>
      </c>
      <c r="H46" s="7"/>
      <c r="I46" s="6" t="n">
        <f aca="false">G46</f>
        <v>40000</v>
      </c>
    </row>
    <row r="47" customFormat="false" ht="19.7" hidden="false" customHeight="false" outlineLevel="0" collapsed="false">
      <c r="F47" s="5" t="s">
        <v>24</v>
      </c>
      <c r="G47" s="6" t="n">
        <v>100000</v>
      </c>
      <c r="H47" s="7"/>
      <c r="I47" s="6" t="n">
        <f aca="false">G47</f>
        <v>100000</v>
      </c>
    </row>
    <row r="48" customFormat="false" ht="19.7" hidden="false" customHeight="false" outlineLevel="0" collapsed="false">
      <c r="F48" s="5" t="s">
        <v>25</v>
      </c>
      <c r="G48" s="6" t="n">
        <v>20000</v>
      </c>
      <c r="H48" s="7"/>
      <c r="I48" s="6" t="n">
        <f aca="false">G48</f>
        <v>20000</v>
      </c>
    </row>
    <row r="49" customFormat="false" ht="19.7" hidden="false" customHeight="false" outlineLevel="0" collapsed="false">
      <c r="F49" s="5" t="s">
        <v>26</v>
      </c>
      <c r="G49" s="6" t="n">
        <v>30000</v>
      </c>
      <c r="H49" s="7"/>
      <c r="I49" s="6" t="n">
        <f aca="false">G49</f>
        <v>30000</v>
      </c>
    </row>
    <row r="50" customFormat="false" ht="19.7" hidden="false" customHeight="false" outlineLevel="0" collapsed="false">
      <c r="F50" s="4" t="s">
        <v>8</v>
      </c>
      <c r="G50" s="3"/>
      <c r="I50" s="10" t="n">
        <f aca="false">I51*20%</f>
        <v>73000</v>
      </c>
    </row>
    <row r="51" customFormat="false" ht="19.7" hidden="false" customHeight="false" outlineLevel="0" collapsed="false">
      <c r="F51" s="4" t="s">
        <v>9</v>
      </c>
      <c r="G51" s="3"/>
      <c r="I51" s="11" t="n">
        <f aca="false">I43+I44+I47+I46+I48+I49+I45</f>
        <v>365000</v>
      </c>
    </row>
    <row r="52" customFormat="false" ht="19.7" hidden="false" customHeight="false" outlineLevel="0" collapsed="false">
      <c r="F52" s="4" t="s">
        <v>19</v>
      </c>
      <c r="G52" s="3"/>
      <c r="I52" s="12" t="n">
        <f aca="false">I51+I50</f>
        <v>438000</v>
      </c>
    </row>
    <row r="53" customFormat="false" ht="19.7" hidden="false" customHeight="false" outlineLevel="0" collapsed="false">
      <c r="F53" s="4" t="s">
        <v>21</v>
      </c>
      <c r="G53" s="3"/>
      <c r="I53" s="12" t="n">
        <f aca="false">I52/3200</f>
        <v>136.875</v>
      </c>
    </row>
    <row r="57" customFormat="false" ht="19.7" hidden="false" customHeight="false" outlineLevel="0" collapsed="false">
      <c r="F57" s="2" t="s">
        <v>18</v>
      </c>
      <c r="G57" s="3" t="n">
        <v>70</v>
      </c>
      <c r="I57" s="3"/>
    </row>
    <row r="58" customFormat="false" ht="19.7" hidden="false" customHeight="false" outlineLevel="0" collapsed="false">
      <c r="F58" s="4"/>
      <c r="G58" s="3"/>
      <c r="I58" s="4" t="s">
        <v>2</v>
      </c>
    </row>
    <row r="59" customFormat="false" ht="19.7" hidden="false" customHeight="false" outlineLevel="0" collapsed="false">
      <c r="F59" s="5" t="s">
        <v>28</v>
      </c>
      <c r="G59" s="6" t="n">
        <v>150000</v>
      </c>
      <c r="H59" s="7"/>
      <c r="I59" s="6" t="n">
        <f aca="false">G59/4</f>
        <v>37500</v>
      </c>
    </row>
    <row r="60" customFormat="false" ht="19.7" hidden="false" customHeight="false" outlineLevel="0" collapsed="false">
      <c r="F60" s="5" t="s">
        <v>4</v>
      </c>
      <c r="G60" s="6" t="n">
        <v>200000</v>
      </c>
      <c r="H60" s="7"/>
      <c r="I60" s="6" t="n">
        <f aca="false">G60/4</f>
        <v>50000</v>
      </c>
    </row>
    <row r="61" customFormat="false" ht="19.7" hidden="false" customHeight="false" outlineLevel="0" collapsed="false">
      <c r="F61" s="21" t="s">
        <v>29</v>
      </c>
      <c r="G61" s="6" t="n">
        <v>20000</v>
      </c>
      <c r="H61" s="7"/>
      <c r="I61" s="6" t="n">
        <f aca="false">G61</f>
        <v>20000</v>
      </c>
    </row>
    <row r="62" customFormat="false" ht="19.7" hidden="false" customHeight="false" outlineLevel="0" collapsed="false">
      <c r="F62" s="5" t="s">
        <v>30</v>
      </c>
      <c r="G62" s="6" t="n">
        <v>165000</v>
      </c>
      <c r="H62" s="7"/>
      <c r="I62" s="6" t="n">
        <f aca="false">G62</f>
        <v>165000</v>
      </c>
    </row>
    <row r="63" customFormat="false" ht="19.7" hidden="false" customHeight="false" outlineLevel="0" collapsed="false">
      <c r="F63" s="5" t="s">
        <v>7</v>
      </c>
      <c r="G63" s="6" t="n">
        <v>0</v>
      </c>
      <c r="H63" s="7"/>
      <c r="I63" s="6" t="n">
        <f aca="false">G63</f>
        <v>0</v>
      </c>
    </row>
    <row r="64" customFormat="false" ht="19.7" hidden="false" customHeight="false" outlineLevel="0" collapsed="false">
      <c r="F64" s="4" t="s">
        <v>8</v>
      </c>
      <c r="G64" s="3"/>
      <c r="I64" s="10" t="n">
        <f aca="false">I65*20%</f>
        <v>54500</v>
      </c>
    </row>
    <row r="65" customFormat="false" ht="19.7" hidden="false" customHeight="false" outlineLevel="0" collapsed="false">
      <c r="F65" s="4" t="s">
        <v>9</v>
      </c>
      <c r="G65" s="3"/>
      <c r="I65" s="11" t="n">
        <f aca="false">I59+I60+I62+I63+I61</f>
        <v>272500</v>
      </c>
    </row>
    <row r="66" customFormat="false" ht="19.7" hidden="false" customHeight="false" outlineLevel="0" collapsed="false">
      <c r="F66" s="4" t="s">
        <v>19</v>
      </c>
      <c r="G66" s="3"/>
      <c r="I66" s="12" t="n">
        <f aca="false">I65+I64</f>
        <v>327000</v>
      </c>
    </row>
    <row r="67" customFormat="false" ht="19.7" hidden="false" customHeight="false" outlineLevel="0" collapsed="false">
      <c r="F67" s="4" t="s">
        <v>21</v>
      </c>
      <c r="G67" s="3"/>
      <c r="I67" s="12" t="n">
        <f aca="false">I66/3200</f>
        <v>102.1875</v>
      </c>
    </row>
    <row r="73" customFormat="false" ht="19.7" hidden="false" customHeight="false" outlineLevel="0" collapsed="false">
      <c r="F73" s="2" t="s">
        <v>40</v>
      </c>
      <c r="G73" s="3" t="n">
        <v>100</v>
      </c>
      <c r="I73" s="3"/>
    </row>
    <row r="74" customFormat="false" ht="19.7" hidden="false" customHeight="false" outlineLevel="0" collapsed="false">
      <c r="F74" s="4"/>
      <c r="G74" s="3"/>
      <c r="I74" s="4" t="s">
        <v>2</v>
      </c>
    </row>
    <row r="75" customFormat="false" ht="19.7" hidden="false" customHeight="false" outlineLevel="0" collapsed="false">
      <c r="F75" s="5" t="s">
        <v>32</v>
      </c>
      <c r="G75" s="6" t="n">
        <f aca="false">1000000+400000</f>
        <v>1400000</v>
      </c>
      <c r="H75" s="7"/>
      <c r="I75" s="6" t="n">
        <f aca="false">G75/4</f>
        <v>350000</v>
      </c>
    </row>
    <row r="76" customFormat="false" ht="19.7" hidden="false" customHeight="false" outlineLevel="0" collapsed="false">
      <c r="F76" s="5" t="s">
        <v>4</v>
      </c>
      <c r="G76" s="6" t="n">
        <v>500000</v>
      </c>
      <c r="H76" s="7"/>
      <c r="I76" s="6" t="n">
        <f aca="false">G76/4</f>
        <v>125000</v>
      </c>
    </row>
    <row r="77" customFormat="false" ht="19.7" hidden="false" customHeight="false" outlineLevel="0" collapsed="false">
      <c r="F77" s="21" t="s">
        <v>41</v>
      </c>
      <c r="G77" s="6" t="n">
        <v>100000</v>
      </c>
      <c r="H77" s="7"/>
      <c r="I77" s="6" t="n">
        <f aca="false">G77</f>
        <v>100000</v>
      </c>
    </row>
    <row r="78" customFormat="false" ht="19.7" hidden="false" customHeight="false" outlineLevel="0" collapsed="false">
      <c r="F78" s="5" t="s">
        <v>234</v>
      </c>
      <c r="G78" s="6" t="n">
        <f aca="false">50000+80000+50000</f>
        <v>180000</v>
      </c>
      <c r="H78" s="7"/>
      <c r="I78" s="6" t="n">
        <f aca="false">G78/4</f>
        <v>45000</v>
      </c>
    </row>
    <row r="79" customFormat="false" ht="19.7" hidden="false" customHeight="false" outlineLevel="0" collapsed="false">
      <c r="F79" s="5" t="s">
        <v>7</v>
      </c>
      <c r="G79" s="6" t="n">
        <v>30000</v>
      </c>
      <c r="H79" s="7"/>
      <c r="I79" s="6" t="n">
        <f aca="false">G79</f>
        <v>30000</v>
      </c>
    </row>
    <row r="80" customFormat="false" ht="19.7" hidden="false" customHeight="false" outlineLevel="0" collapsed="false">
      <c r="F80" s="4" t="s">
        <v>8</v>
      </c>
      <c r="G80" s="3"/>
      <c r="I80" s="10" t="n">
        <f aca="false">I81*15%</f>
        <v>97500</v>
      </c>
    </row>
    <row r="81" customFormat="false" ht="19.7" hidden="false" customHeight="false" outlineLevel="0" collapsed="false">
      <c r="F81" s="4" t="s">
        <v>9</v>
      </c>
      <c r="G81" s="3"/>
      <c r="I81" s="11" t="n">
        <f aca="false">I75+I76+I78+I79+I77</f>
        <v>650000</v>
      </c>
    </row>
    <row r="82" customFormat="false" ht="19.7" hidden="false" customHeight="false" outlineLevel="0" collapsed="false">
      <c r="F82" s="4" t="s">
        <v>19</v>
      </c>
      <c r="G82" s="3"/>
      <c r="I82" s="12" t="n">
        <f aca="false">I81+I80</f>
        <v>747500</v>
      </c>
    </row>
    <row r="83" customFormat="false" ht="19.7" hidden="false" customHeight="false" outlineLevel="0" collapsed="false">
      <c r="F83" s="4" t="s">
        <v>21</v>
      </c>
      <c r="G83" s="3"/>
      <c r="I83" s="12" t="n">
        <f aca="false">I82/3200</f>
        <v>233.59375</v>
      </c>
    </row>
    <row r="87" customFormat="false" ht="19.7" hidden="false" customHeight="false" outlineLevel="0" collapsed="false">
      <c r="F87" s="2" t="s">
        <v>27</v>
      </c>
      <c r="G87" s="3" t="n">
        <v>110</v>
      </c>
      <c r="I87" s="3"/>
    </row>
    <row r="88" customFormat="false" ht="19.7" hidden="false" customHeight="false" outlineLevel="0" collapsed="false">
      <c r="F88" s="4"/>
      <c r="G88" s="3"/>
      <c r="I88" s="4" t="s">
        <v>2</v>
      </c>
    </row>
    <row r="89" customFormat="false" ht="19.7" hidden="false" customHeight="false" outlineLevel="0" collapsed="false">
      <c r="F89" s="5" t="s">
        <v>28</v>
      </c>
      <c r="G89" s="6" t="n">
        <v>150000</v>
      </c>
      <c r="H89" s="7"/>
      <c r="I89" s="6" t="n">
        <f aca="false">G89/4</f>
        <v>37500</v>
      </c>
    </row>
    <row r="90" customFormat="false" ht="19.7" hidden="false" customHeight="false" outlineLevel="0" collapsed="false">
      <c r="F90" s="5" t="s">
        <v>4</v>
      </c>
      <c r="G90" s="6" t="n">
        <v>300000</v>
      </c>
      <c r="H90" s="7"/>
      <c r="I90" s="6" t="n">
        <f aca="false">G90/4</f>
        <v>75000</v>
      </c>
    </row>
    <row r="91" customFormat="false" ht="19.7" hidden="false" customHeight="false" outlineLevel="0" collapsed="false">
      <c r="F91" s="21" t="s">
        <v>29</v>
      </c>
      <c r="G91" s="6" t="n">
        <v>0</v>
      </c>
      <c r="H91" s="7"/>
      <c r="I91" s="6" t="n">
        <f aca="false">G91</f>
        <v>0</v>
      </c>
    </row>
    <row r="92" customFormat="false" ht="19.7" hidden="false" customHeight="false" outlineLevel="0" collapsed="false">
      <c r="F92" s="5" t="s">
        <v>43</v>
      </c>
      <c r="G92" s="6" t="n">
        <v>400000</v>
      </c>
      <c r="H92" s="7"/>
      <c r="I92" s="6" t="n">
        <f aca="false">G92</f>
        <v>400000</v>
      </c>
    </row>
    <row r="93" customFormat="false" ht="19.7" hidden="false" customHeight="false" outlineLevel="0" collapsed="false">
      <c r="F93" s="5" t="s">
        <v>7</v>
      </c>
      <c r="G93" s="6" t="n">
        <v>0</v>
      </c>
      <c r="H93" s="7"/>
      <c r="I93" s="6" t="n">
        <f aca="false">G93</f>
        <v>0</v>
      </c>
    </row>
    <row r="94" customFormat="false" ht="19.7" hidden="false" customHeight="false" outlineLevel="0" collapsed="false">
      <c r="F94" s="4" t="s">
        <v>8</v>
      </c>
      <c r="G94" s="3"/>
      <c r="I94" s="10" t="n">
        <f aca="false">I95*5%</f>
        <v>25625</v>
      </c>
    </row>
    <row r="95" customFormat="false" ht="19.7" hidden="false" customHeight="false" outlineLevel="0" collapsed="false">
      <c r="F95" s="4" t="s">
        <v>9</v>
      </c>
      <c r="G95" s="3"/>
      <c r="I95" s="11" t="n">
        <f aca="false">I89+I90+I92+I93+I91</f>
        <v>512500</v>
      </c>
    </row>
    <row r="96" customFormat="false" ht="19.7" hidden="false" customHeight="false" outlineLevel="0" collapsed="false">
      <c r="F96" s="4" t="s">
        <v>19</v>
      </c>
      <c r="G96" s="3"/>
      <c r="I96" s="12" t="n">
        <f aca="false">I95+I94</f>
        <v>538125</v>
      </c>
    </row>
    <row r="97" customFormat="false" ht="19.7" hidden="false" customHeight="false" outlineLevel="0" collapsed="false">
      <c r="F97" s="4" t="s">
        <v>21</v>
      </c>
      <c r="G97" s="3"/>
      <c r="I97" s="12" t="n">
        <f aca="false">I96/3200</f>
        <v>168.1640625</v>
      </c>
    </row>
    <row r="99" customFormat="false" ht="19.7" hidden="false" customHeight="false" outlineLevel="0" collapsed="false">
      <c r="F99" s="2" t="s">
        <v>45</v>
      </c>
      <c r="G99" s="3" t="n">
        <v>110</v>
      </c>
      <c r="I99" s="3"/>
    </row>
    <row r="100" customFormat="false" ht="19.7" hidden="false" customHeight="false" outlineLevel="0" collapsed="false">
      <c r="F100" s="4"/>
      <c r="G100" s="3"/>
      <c r="I100" s="4" t="s">
        <v>2</v>
      </c>
    </row>
    <row r="101" customFormat="false" ht="19.7" hidden="false" customHeight="false" outlineLevel="0" collapsed="false">
      <c r="F101" s="5" t="s">
        <v>32</v>
      </c>
      <c r="G101" s="6" t="n">
        <v>500000</v>
      </c>
      <c r="H101" s="7"/>
      <c r="I101" s="6" t="n">
        <f aca="false">G101/4</f>
        <v>125000</v>
      </c>
    </row>
    <row r="102" customFormat="false" ht="19.7" hidden="false" customHeight="false" outlineLevel="0" collapsed="false">
      <c r="F102" s="5" t="s">
        <v>4</v>
      </c>
      <c r="G102" s="6" t="n">
        <v>200000</v>
      </c>
      <c r="H102" s="7"/>
      <c r="I102" s="6" t="n">
        <f aca="false">G102/4</f>
        <v>50000</v>
      </c>
    </row>
    <row r="103" customFormat="false" ht="19.7" hidden="false" customHeight="false" outlineLevel="0" collapsed="false">
      <c r="F103" s="21" t="s">
        <v>46</v>
      </c>
      <c r="G103" s="6"/>
      <c r="H103" s="7"/>
      <c r="I103" s="6" t="n">
        <f aca="false">G103</f>
        <v>0</v>
      </c>
    </row>
    <row r="104" customFormat="false" ht="19.7" hidden="false" customHeight="false" outlineLevel="0" collapsed="false">
      <c r="F104" s="5" t="s">
        <v>6</v>
      </c>
      <c r="G104" s="6" t="n">
        <v>100000</v>
      </c>
      <c r="H104" s="7"/>
      <c r="I104" s="6" t="n">
        <f aca="false">G104</f>
        <v>100000</v>
      </c>
    </row>
    <row r="105" customFormat="false" ht="19.7" hidden="false" customHeight="false" outlineLevel="0" collapsed="false">
      <c r="F105" s="5" t="s">
        <v>7</v>
      </c>
      <c r="G105" s="6" t="n">
        <v>30000</v>
      </c>
      <c r="H105" s="7"/>
      <c r="I105" s="6" t="n">
        <f aca="false">G105</f>
        <v>30000</v>
      </c>
    </row>
    <row r="106" customFormat="false" ht="19.7" hidden="false" customHeight="false" outlineLevel="0" collapsed="false">
      <c r="F106" s="4" t="s">
        <v>8</v>
      </c>
      <c r="G106" s="3"/>
      <c r="I106" s="10" t="n">
        <f aca="false">I107*20%</f>
        <v>61000</v>
      </c>
    </row>
    <row r="107" customFormat="false" ht="19.7" hidden="false" customHeight="false" outlineLevel="0" collapsed="false">
      <c r="F107" s="4" t="s">
        <v>9</v>
      </c>
      <c r="G107" s="3"/>
      <c r="I107" s="11" t="n">
        <f aca="false">I101+I102+I104+I105+I103</f>
        <v>305000</v>
      </c>
    </row>
    <row r="108" customFormat="false" ht="19.7" hidden="false" customHeight="false" outlineLevel="0" collapsed="false">
      <c r="F108" s="4" t="s">
        <v>19</v>
      </c>
      <c r="G108" s="3"/>
      <c r="I108" s="12" t="n">
        <f aca="false">I107+I106</f>
        <v>366000</v>
      </c>
    </row>
    <row r="109" customFormat="false" ht="19.7" hidden="false" customHeight="false" outlineLevel="0" collapsed="false">
      <c r="F109" s="4" t="s">
        <v>21</v>
      </c>
      <c r="G109" s="3"/>
      <c r="I109" s="12" t="n">
        <f aca="false">I108/3200</f>
        <v>114.375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27"/>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K17" activeCellId="0" sqref="K17"/>
    </sheetView>
  </sheetViews>
  <sheetFormatPr defaultColWidth="10.6015625" defaultRowHeight="14.25" customHeight="false" zeroHeight="false" outlineLevelRow="0" outlineLevelCol="0"/>
  <cols>
    <col collapsed="false" customWidth="true" hidden="false" outlineLevel="0" max="2" min="2" style="0" width="7.22"/>
    <col collapsed="false" customWidth="true" hidden="false" outlineLevel="0" max="4" min="4" style="0" width="32.78"/>
    <col collapsed="false" customWidth="true" hidden="false" outlineLevel="0" max="5" min="5" style="0" width="13"/>
    <col collapsed="false" customWidth="true" hidden="false" outlineLevel="0" max="7" min="6" style="0" width="12.78"/>
  </cols>
  <sheetData>
    <row r="2" customFormat="false" ht="14.25" hidden="false" customHeight="false" outlineLevel="0" collapsed="false">
      <c r="B2" s="148" t="s">
        <v>54</v>
      </c>
      <c r="C2" s="149" t="s">
        <v>235</v>
      </c>
      <c r="D2" s="149" t="s">
        <v>236</v>
      </c>
      <c r="E2" s="150" t="s">
        <v>237</v>
      </c>
      <c r="F2" s="150" t="s">
        <v>238</v>
      </c>
    </row>
    <row r="3" customFormat="false" ht="14.25" hidden="false" customHeight="false" outlineLevel="0" collapsed="false">
      <c r="B3" s="151" t="n">
        <v>46149</v>
      </c>
      <c r="C3" s="152" t="s">
        <v>239</v>
      </c>
      <c r="D3" s="153" t="s">
        <v>240</v>
      </c>
      <c r="E3" s="153" t="n">
        <v>60000</v>
      </c>
      <c r="F3" s="154" t="n">
        <f aca="false">E3/3</f>
        <v>20000</v>
      </c>
    </row>
    <row r="4" customFormat="false" ht="14.25" hidden="false" customHeight="false" outlineLevel="0" collapsed="false">
      <c r="B4" s="151"/>
      <c r="C4" s="152"/>
      <c r="D4" s="155" t="s">
        <v>241</v>
      </c>
      <c r="E4" s="155" t="n">
        <v>316000</v>
      </c>
      <c r="F4" s="156" t="n">
        <f aca="false">E4/4</f>
        <v>79000</v>
      </c>
    </row>
    <row r="5" customFormat="false" ht="14.25" hidden="false" customHeight="false" outlineLevel="0" collapsed="false">
      <c r="B5" s="157" t="n">
        <v>46150</v>
      </c>
      <c r="C5" s="152" t="s">
        <v>242</v>
      </c>
      <c r="D5" s="153" t="s">
        <v>243</v>
      </c>
      <c r="E5" s="153" t="n">
        <f aca="false">8*80000</f>
        <v>640000</v>
      </c>
      <c r="F5" s="154" t="n">
        <f aca="false">E5/4</f>
        <v>160000</v>
      </c>
    </row>
    <row r="6" customFormat="false" ht="14.25" hidden="false" customHeight="false" outlineLevel="0" collapsed="false">
      <c r="B6" s="157"/>
      <c r="C6" s="152"/>
      <c r="D6" s="7" t="s">
        <v>244</v>
      </c>
      <c r="E6" s="7" t="n">
        <f aca="false">7000+10000</f>
        <v>17000</v>
      </c>
      <c r="F6" s="56" t="n">
        <f aca="false">5100</f>
        <v>5100</v>
      </c>
      <c r="G6" s="158" t="n">
        <v>2300</v>
      </c>
    </row>
    <row r="7" customFormat="false" ht="14.25" hidden="false" customHeight="false" outlineLevel="0" collapsed="false">
      <c r="B7" s="157"/>
      <c r="C7" s="152"/>
      <c r="D7" s="7" t="s">
        <v>245</v>
      </c>
      <c r="E7" s="7"/>
      <c r="F7" s="56" t="n">
        <v>27000</v>
      </c>
      <c r="G7" s="159" t="n">
        <f aca="false">F7/4</f>
        <v>6750</v>
      </c>
    </row>
    <row r="8" customFormat="false" ht="14.25" hidden="false" customHeight="false" outlineLevel="0" collapsed="false">
      <c r="B8" s="157"/>
      <c r="C8" s="152"/>
      <c r="D8" s="155" t="s">
        <v>246</v>
      </c>
      <c r="E8" s="155" t="n">
        <f aca="false">209000</f>
        <v>209000</v>
      </c>
      <c r="F8" s="160" t="n">
        <v>40000</v>
      </c>
      <c r="G8" s="158" t="n">
        <v>12250</v>
      </c>
      <c r="H8" s="0" t="n">
        <f aca="false">209000/4</f>
        <v>52250</v>
      </c>
    </row>
    <row r="9" customFormat="false" ht="14.25" hidden="false" customHeight="false" outlineLevel="0" collapsed="false">
      <c r="B9" s="157" t="n">
        <v>46151</v>
      </c>
      <c r="C9" s="152" t="s">
        <v>247</v>
      </c>
      <c r="D9" s="153" t="s">
        <v>248</v>
      </c>
      <c r="E9" s="153" t="n">
        <v>32000</v>
      </c>
      <c r="F9" s="154" t="n">
        <f aca="false">E9/4</f>
        <v>8000</v>
      </c>
    </row>
    <row r="10" customFormat="false" ht="14.25" hidden="false" customHeight="false" outlineLevel="0" collapsed="false">
      <c r="B10" s="157"/>
      <c r="C10" s="152"/>
      <c r="D10" s="7" t="s">
        <v>249</v>
      </c>
      <c r="E10" s="7" t="n">
        <f aca="false">12000*4</f>
        <v>48000</v>
      </c>
      <c r="F10" s="161" t="n">
        <f aca="false">E10/4</f>
        <v>12000</v>
      </c>
    </row>
    <row r="11" customFormat="false" ht="14.25" hidden="false" customHeight="false" outlineLevel="0" collapsed="false">
      <c r="B11" s="157"/>
      <c r="C11" s="152"/>
      <c r="D11" s="7" t="s">
        <v>250</v>
      </c>
      <c r="E11" s="7" t="n">
        <f aca="false">10000*3</f>
        <v>30000</v>
      </c>
      <c r="F11" s="56" t="n">
        <v>10000</v>
      </c>
    </row>
    <row r="12" customFormat="false" ht="14.25" hidden="false" customHeight="false" outlineLevel="0" collapsed="false">
      <c r="B12" s="157"/>
      <c r="C12" s="152"/>
      <c r="D12" s="7" t="s">
        <v>251</v>
      </c>
      <c r="E12" s="7" t="n">
        <v>200000</v>
      </c>
      <c r="F12" s="56" t="n">
        <v>20000</v>
      </c>
      <c r="G12" s="158" t="n">
        <f aca="false">H12-F12</f>
        <v>35000</v>
      </c>
      <c r="H12" s="162" t="n">
        <f aca="false">220000/4</f>
        <v>55000</v>
      </c>
      <c r="K12" s="81"/>
    </row>
    <row r="13" customFormat="false" ht="14.25" hidden="false" customHeight="false" outlineLevel="0" collapsed="false">
      <c r="B13" s="157"/>
      <c r="C13" s="152"/>
      <c r="D13" s="7" t="s">
        <v>252</v>
      </c>
      <c r="E13" s="7"/>
      <c r="F13" s="56" t="n">
        <f aca="false">12000*3</f>
        <v>36000</v>
      </c>
      <c r="G13" s="159" t="n">
        <f aca="false">F13/3</f>
        <v>12000</v>
      </c>
    </row>
    <row r="14" customFormat="false" ht="14.25" hidden="false" customHeight="false" outlineLevel="0" collapsed="false">
      <c r="B14" s="157"/>
      <c r="C14" s="152"/>
      <c r="D14" s="155" t="s">
        <v>253</v>
      </c>
      <c r="E14" s="155" t="n">
        <v>32000</v>
      </c>
      <c r="F14" s="156" t="n">
        <f aca="false">E14/4</f>
        <v>8000</v>
      </c>
    </row>
    <row r="15" customFormat="false" ht="14.25" hidden="false" customHeight="false" outlineLevel="0" collapsed="false">
      <c r="B15" s="163" t="n">
        <v>46152</v>
      </c>
      <c r="C15" s="152" t="s">
        <v>254</v>
      </c>
      <c r="D15" s="153" t="s">
        <v>255</v>
      </c>
      <c r="E15" s="153" t="n">
        <f aca="false">6800*4</f>
        <v>27200</v>
      </c>
      <c r="F15" s="154" t="n">
        <f aca="false">E15/4</f>
        <v>6800</v>
      </c>
    </row>
    <row r="16" customFormat="false" ht="14.25" hidden="false" customHeight="false" outlineLevel="0" collapsed="false">
      <c r="B16" s="163"/>
      <c r="C16" s="152"/>
      <c r="D16" s="7" t="s">
        <v>256</v>
      </c>
      <c r="E16" s="7" t="n">
        <f aca="false">3800*4</f>
        <v>15200</v>
      </c>
      <c r="F16" s="161" t="n">
        <f aca="false">E16/4</f>
        <v>3800</v>
      </c>
    </row>
    <row r="17" customFormat="false" ht="14.25" hidden="false" customHeight="false" outlineLevel="0" collapsed="false">
      <c r="B17" s="163"/>
      <c r="C17" s="152"/>
      <c r="D17" s="7" t="s">
        <v>257</v>
      </c>
      <c r="E17" s="7" t="n">
        <v>80000</v>
      </c>
      <c r="F17" s="161" t="n">
        <f aca="false">E17/4</f>
        <v>20000</v>
      </c>
    </row>
    <row r="18" customFormat="false" ht="14.25" hidden="false" customHeight="false" outlineLevel="0" collapsed="false">
      <c r="B18" s="163"/>
      <c r="C18" s="152"/>
      <c r="D18" s="7" t="s">
        <v>258</v>
      </c>
      <c r="E18" s="7"/>
      <c r="F18" s="56" t="n">
        <f aca="false">6800*4</f>
        <v>27200</v>
      </c>
      <c r="G18" s="159" t="n">
        <f aca="false">F18/4</f>
        <v>6800</v>
      </c>
    </row>
    <row r="19" customFormat="false" ht="14.25" hidden="false" customHeight="false" outlineLevel="0" collapsed="false">
      <c r="B19" s="163"/>
      <c r="C19" s="152"/>
      <c r="D19" s="7" t="s">
        <v>259</v>
      </c>
      <c r="E19" s="7"/>
      <c r="F19" s="56" t="n">
        <v>240000</v>
      </c>
      <c r="G19" s="159" t="n">
        <f aca="false">F19/4</f>
        <v>60000</v>
      </c>
    </row>
    <row r="20" customFormat="false" ht="14.25" hidden="false" customHeight="false" outlineLevel="0" collapsed="false">
      <c r="B20" s="163"/>
      <c r="C20" s="152"/>
      <c r="D20" s="155" t="s">
        <v>162</v>
      </c>
      <c r="E20" s="155" t="n">
        <v>210000</v>
      </c>
      <c r="F20" s="156" t="n">
        <f aca="false">E20/4</f>
        <v>52500</v>
      </c>
    </row>
    <row r="21" customFormat="false" ht="14.25" hidden="false" customHeight="false" outlineLevel="0" collapsed="false">
      <c r="B21" s="151" t="n">
        <v>46153</v>
      </c>
      <c r="C21" s="90" t="s">
        <v>260</v>
      </c>
      <c r="D21" s="7" t="s">
        <v>261</v>
      </c>
      <c r="E21" s="7"/>
      <c r="F21" s="7" t="n">
        <f aca="false">11000*4</f>
        <v>44000</v>
      </c>
      <c r="G21" s="164" t="n">
        <f aca="false">F21/4</f>
        <v>11000</v>
      </c>
    </row>
    <row r="22" customFormat="false" ht="14.25" hidden="false" customHeight="false" outlineLevel="0" collapsed="false">
      <c r="B22" s="151"/>
      <c r="C22" s="90"/>
      <c r="D22" s="7" t="s">
        <v>262</v>
      </c>
      <c r="E22" s="7" t="n">
        <v>55000</v>
      </c>
      <c r="F22" s="165" t="n">
        <f aca="false">E22/2</f>
        <v>27500</v>
      </c>
    </row>
    <row r="23" customFormat="false" ht="14.25" hidden="false" customHeight="false" outlineLevel="0" collapsed="false">
      <c r="B23" s="151"/>
      <c r="C23" s="90"/>
      <c r="D23" s="7" t="s">
        <v>263</v>
      </c>
      <c r="E23" s="7" t="n">
        <f aca="false">11000*3</f>
        <v>33000</v>
      </c>
      <c r="F23" s="165" t="n">
        <f aca="false">E23/3</f>
        <v>11000</v>
      </c>
    </row>
    <row r="24" customFormat="false" ht="14.25" hidden="false" customHeight="false" outlineLevel="0" collapsed="false">
      <c r="B24" s="151"/>
      <c r="C24" s="90"/>
      <c r="D24" s="7" t="s">
        <v>264</v>
      </c>
      <c r="E24" s="7" t="n">
        <f aca="false">158000+158000</f>
        <v>316000</v>
      </c>
      <c r="F24" s="165" t="n">
        <f aca="false">E24/4</f>
        <v>79000</v>
      </c>
    </row>
    <row r="25" customFormat="false" ht="14.25" hidden="false" customHeight="false" outlineLevel="0" collapsed="false">
      <c r="E25" s="166" t="n">
        <f aca="false">SUM(E3:E24)</f>
        <v>2320400</v>
      </c>
      <c r="F25" s="167" t="n">
        <f aca="false">F3+F4+F5+F9+F10+F14+F15+F16+F17+F20+F22+F23+F24</f>
        <v>487600</v>
      </c>
      <c r="G25" s="168" t="n">
        <f aca="false">F6+F7+F8+F18+F19+F21+F11+F12+F13</f>
        <v>449300</v>
      </c>
    </row>
    <row r="26" customFormat="false" ht="14.25" hidden="false" customHeight="false" outlineLevel="0" collapsed="false">
      <c r="E26" s="166" t="n">
        <f aca="false">E25-F26</f>
        <v>1783250</v>
      </c>
      <c r="F26" s="169" t="n">
        <f aca="false">F25+G8+G12+G6</f>
        <v>537150</v>
      </c>
      <c r="G26" s="168"/>
    </row>
    <row r="27" customFormat="false" ht="14.25" hidden="false" customHeight="false" outlineLevel="0" collapsed="false">
      <c r="F27" s="170" t="n">
        <f aca="false">F26-G25</f>
        <v>87850</v>
      </c>
    </row>
  </sheetData>
  <mergeCells count="10">
    <mergeCell ref="B3:B4"/>
    <mergeCell ref="C3:C4"/>
    <mergeCell ref="B5:B8"/>
    <mergeCell ref="C5:C8"/>
    <mergeCell ref="B9:B14"/>
    <mergeCell ref="C9:C14"/>
    <mergeCell ref="B15:B20"/>
    <mergeCell ref="C15:C20"/>
    <mergeCell ref="B21:B24"/>
    <mergeCell ref="C21:C2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76</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2025-01-30T17:16:31Z</dcterms:created>
  <dc:creator>Marladi Zurique</dc:creator>
  <dc:description/>
  <dc:language>es-CO</dc:language>
  <cp:lastModifiedBy/>
  <dcterms:modified xsi:type="dcterms:W3CDTF">2026-05-26T19:33:39Z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