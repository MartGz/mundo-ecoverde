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7cd40b28da1b71/Escritorio/mundo-ecoverde/public/images/logos/MARLADI EMRESA/"/>
    </mc:Choice>
  </mc:AlternateContent>
  <xr:revisionPtr revIDLastSave="0" documentId="8_{6AB393FD-A36A-40D5-AB5D-25D27CB0E04C}" xr6:coauthVersionLast="47" xr6:coauthVersionMax="47" xr10:uidLastSave="{00000000-0000-0000-0000-000000000000}"/>
  <bookViews>
    <workbookView minimized="1" xWindow="1428" yWindow="1428" windowWidth="17280" windowHeight="9960" xr2:uid="{67A23B63-1A8F-4D94-8ACC-61181C2BD42C}"/>
  </bookViews>
  <sheets>
    <sheet name="PRESUPUESTO" sheetId="1" r:id="rId1"/>
    <sheet name="LISTADOPASAJEROS" sheetId="4" r:id="rId2"/>
    <sheet name="VUELOS " sheetId="3" r:id="rId3"/>
    <sheet name="TRANSPORTE" sheetId="2" r:id="rId4"/>
    <sheet name="Hoja5" sheetId="5" r:id="rId5"/>
  </sheets>
  <definedNames>
    <definedName name="_xlnm._FilterDatabase" localSheetId="1" hidden="1">LISTADOPASAJEROS!$B$3:$D$51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2" i="1"/>
  <c r="F19" i="1"/>
  <c r="F18" i="1"/>
  <c r="D42" i="1"/>
  <c r="D39" i="1"/>
  <c r="D23" i="1"/>
  <c r="D62" i="1"/>
  <c r="D63" i="1"/>
  <c r="D64" i="1"/>
  <c r="D65" i="1"/>
  <c r="D66" i="1"/>
  <c r="D67" i="1"/>
  <c r="D61" i="1"/>
  <c r="D56" i="1"/>
  <c r="D55" i="1"/>
  <c r="D54" i="1"/>
  <c r="D53" i="1"/>
  <c r="D52" i="1"/>
  <c r="D51" i="1"/>
  <c r="D47" i="1"/>
  <c r="D46" i="1"/>
  <c r="D45" i="1"/>
  <c r="D41" i="1"/>
  <c r="D40" i="1"/>
  <c r="D21" i="1"/>
  <c r="D20" i="1"/>
  <c r="D19" i="1"/>
  <c r="C35" i="1"/>
  <c r="D36" i="1" s="1"/>
  <c r="E13" i="1"/>
  <c r="D13" i="1"/>
  <c r="D48" i="1" l="1"/>
  <c r="D57" i="1"/>
  <c r="D69" i="1"/>
  <c r="D26" i="1"/>
  <c r="D71" i="1" l="1"/>
</calcChain>
</file>

<file path=xl/sharedStrings.xml><?xml version="1.0" encoding="utf-8"?>
<sst xmlns="http://schemas.openxmlformats.org/spreadsheetml/2006/main" count="285" uniqueCount="191">
  <si>
    <t xml:space="preserve">TRANSPORTE </t>
  </si>
  <si>
    <t>TRANSFER IN</t>
  </si>
  <si>
    <t>TRANSFER OUT</t>
  </si>
  <si>
    <t>BARRANQUILLA</t>
  </si>
  <si>
    <t>VISITA ONG</t>
  </si>
  <si>
    <t xml:space="preserve">20 JULIO </t>
  </si>
  <si>
    <t>CM 161</t>
  </si>
  <si>
    <t>CM 314</t>
  </si>
  <si>
    <t>27 JULIO</t>
  </si>
  <si>
    <t>Panama 7:37 - Colombia 8:53</t>
  </si>
  <si>
    <t xml:space="preserve">Colombia 15:28 - Panama 16:36 </t>
  </si>
  <si>
    <t xml:space="preserve">FECHA </t>
  </si>
  <si>
    <t xml:space="preserve">VUELO </t>
  </si>
  <si>
    <t xml:space="preserve">DESTINO </t>
  </si>
  <si>
    <t xml:space="preserve">CITY TOUR </t>
  </si>
  <si>
    <t>GETSEMANI</t>
  </si>
  <si>
    <t>EXPERIENCES</t>
  </si>
  <si>
    <t>Price per   Person</t>
  </si>
  <si>
    <t xml:space="preserve">Cultural City Tour </t>
  </si>
  <si>
    <t>From Chain to Freedom</t>
  </si>
  <si>
    <t>Discovery the Beauty</t>
  </si>
  <si>
    <t xml:space="preserve">Transfers </t>
  </si>
  <si>
    <t xml:space="preserve">ONG Transportation </t>
  </si>
  <si>
    <t xml:space="preserve">BARRANQUILLA </t>
  </si>
  <si>
    <t xml:space="preserve">PRECIO CESAR </t>
  </si>
  <si>
    <t xml:space="preserve">GASTOS </t>
  </si>
  <si>
    <t>TRANSPORTE OAT</t>
  </si>
  <si>
    <t>TRANSPORTE INDEPENDIENTE</t>
  </si>
  <si>
    <t xml:space="preserve">COMPRAS </t>
  </si>
  <si>
    <t>Cra. 3 #6-23, Cartagena de Indias, Provincia de Cartagena, Bolívar</t>
  </si>
  <si>
    <t>(605) 6511276</t>
  </si>
  <si>
    <t xml:space="preserve">BARLOVENTO </t>
  </si>
  <si>
    <t xml:space="preserve">HOTEL </t>
  </si>
  <si>
    <t>TELEFONO</t>
  </si>
  <si>
    <t>DIRECCION</t>
  </si>
  <si>
    <t xml:space="preserve">OBSERVACIONES </t>
  </si>
  <si>
    <t xml:space="preserve">HORA SALIDA </t>
  </si>
  <si>
    <t xml:space="preserve">HORA RETORNO </t>
  </si>
  <si>
    <t xml:space="preserve">LUGAR </t>
  </si>
  <si>
    <t>Corregimiento Arroyo de Piedra</t>
  </si>
  <si>
    <t>INSTITUTO EDUCATIVO ARROYO DE PIEDRA.
40 Minutos de Cartagena
Tiempo estimado de duración 4 horas.</t>
  </si>
  <si>
    <t>-</t>
  </si>
  <si>
    <t>AEROPUERTO</t>
  </si>
  <si>
    <t>HOTEL</t>
  </si>
  <si>
    <t xml:space="preserve">HIDRATACIÓN </t>
  </si>
  <si>
    <t xml:space="preserve">TRANSFER </t>
  </si>
  <si>
    <t>NAME</t>
  </si>
  <si>
    <t>PASSPORT NUMBER</t>
  </si>
  <si>
    <t>AGE</t>
  </si>
  <si>
    <t>STUDENTS</t>
  </si>
  <si>
    <t>Aanalisa Romain-Timothy</t>
  </si>
  <si>
    <t>TC359609</t>
  </si>
  <si>
    <t>Alaayah Cowie</t>
  </si>
  <si>
    <t>TC359610</t>
  </si>
  <si>
    <t>Analeah Hackshaw</t>
  </si>
  <si>
    <t>TC240554</t>
  </si>
  <si>
    <t>Anna-Marie Francis</t>
  </si>
  <si>
    <t>TC179717</t>
  </si>
  <si>
    <t>Antonia John</t>
  </si>
  <si>
    <t>TC236893</t>
  </si>
  <si>
    <t>Aria-Leigh Marin</t>
  </si>
  <si>
    <t>TC101872</t>
  </si>
  <si>
    <t>Asia Lee Lum</t>
  </si>
  <si>
    <t>TC356267</t>
  </si>
  <si>
    <t>Blessin Crichlow</t>
  </si>
  <si>
    <t>TC106507</t>
  </si>
  <si>
    <t>Carolina Rahael</t>
  </si>
  <si>
    <t>TC031913</t>
  </si>
  <si>
    <t>Chiemeka Rojas</t>
  </si>
  <si>
    <t>TC336703</t>
  </si>
  <si>
    <t>Christina Tannous</t>
  </si>
  <si>
    <t>TC246146</t>
  </si>
  <si>
    <t>Cienna Shanklin</t>
  </si>
  <si>
    <t>TC129152</t>
  </si>
  <si>
    <t>Dominique Greenidge</t>
  </si>
  <si>
    <t>TC356635</t>
  </si>
  <si>
    <t>Eliana Foster</t>
  </si>
  <si>
    <t>TC278111</t>
  </si>
  <si>
    <t>Elise Lee Sing</t>
  </si>
  <si>
    <t>TC357424</t>
  </si>
  <si>
    <t>Ella-Grace Iligan</t>
  </si>
  <si>
    <t>A35822856 (US)</t>
  </si>
  <si>
    <t>Elyse Rostant</t>
  </si>
  <si>
    <t>TC074044</t>
  </si>
  <si>
    <t>Gia Ferreira</t>
  </si>
  <si>
    <t>TC103451</t>
  </si>
  <si>
    <t>Gianna McBurnie</t>
  </si>
  <si>
    <t>TC357507</t>
  </si>
  <si>
    <t>Isabel Clarke-Wills</t>
  </si>
  <si>
    <t>TC291720</t>
  </si>
  <si>
    <t>Isabella Jacob</t>
  </si>
  <si>
    <t>TC064916</t>
  </si>
  <si>
    <t>Jael Jackson</t>
  </si>
  <si>
    <t>TC074845</t>
  </si>
  <si>
    <t>Jael Reyes</t>
  </si>
  <si>
    <t>TC288687</t>
  </si>
  <si>
    <t>Jazara Hinds</t>
  </si>
  <si>
    <t>TC354489</t>
  </si>
  <si>
    <t>Jordan Fitzpatrick</t>
  </si>
  <si>
    <t>56603375 (US)</t>
  </si>
  <si>
    <t>Jourdann Fournillier</t>
  </si>
  <si>
    <t>TC305840</t>
  </si>
  <si>
    <t>Kaelyn Maraj</t>
  </si>
  <si>
    <t>TC124557</t>
  </si>
  <si>
    <t>Kayla Fitzpatrick</t>
  </si>
  <si>
    <t>568063628 (US)</t>
  </si>
  <si>
    <t>Kylie-Rose Iligan</t>
  </si>
  <si>
    <t>TC182454</t>
  </si>
  <si>
    <t>Larah Fournillier</t>
  </si>
  <si>
    <t>TC106381</t>
  </si>
  <si>
    <t>Marley Persad</t>
  </si>
  <si>
    <t>TC106576</t>
  </si>
  <si>
    <t>Megan Ramroop</t>
  </si>
  <si>
    <t>TC134374</t>
  </si>
  <si>
    <t>Miracle Darbeau</t>
  </si>
  <si>
    <t>TC356974</t>
  </si>
  <si>
    <t>Myra Joseph</t>
  </si>
  <si>
    <t>TC181159</t>
  </si>
  <si>
    <t>Nadia Narine</t>
  </si>
  <si>
    <t>TC145804</t>
  </si>
  <si>
    <t>Nasya Henry</t>
  </si>
  <si>
    <t>TC304907</t>
  </si>
  <si>
    <t>Olivia Griffith</t>
  </si>
  <si>
    <t>TC223020</t>
  </si>
  <si>
    <t>Rebecca de Silva</t>
  </si>
  <si>
    <t>TC103532</t>
  </si>
  <si>
    <t>Samia Saunders</t>
  </si>
  <si>
    <t>TC052057</t>
  </si>
  <si>
    <t>Sarah Griffith</t>
  </si>
  <si>
    <t>TC288733</t>
  </si>
  <si>
    <t>Shaunte Thomas</t>
  </si>
  <si>
    <t>TC359608</t>
  </si>
  <si>
    <t>Tiffany Richards</t>
  </si>
  <si>
    <t>TC302940</t>
  </si>
  <si>
    <t>Victoria Griffith</t>
  </si>
  <si>
    <t>TC223019</t>
  </si>
  <si>
    <t>Vineetha Kattamanchi</t>
  </si>
  <si>
    <t>677034934 (US)</t>
  </si>
  <si>
    <t>Ysabel Lee Sing</t>
  </si>
  <si>
    <t>TB930007</t>
  </si>
  <si>
    <t>Zara Kam</t>
  </si>
  <si>
    <t>TC279074</t>
  </si>
  <si>
    <t>Zariah Sobion</t>
  </si>
  <si>
    <t>TC327757</t>
  </si>
  <si>
    <t>TEACHERS/PARENTS</t>
  </si>
  <si>
    <t>Alicia Stephens</t>
  </si>
  <si>
    <t>TB914353</t>
  </si>
  <si>
    <t>Anastacia Auguste - Hackshaw</t>
  </si>
  <si>
    <t>TB671711</t>
  </si>
  <si>
    <t>Anisha Romany</t>
  </si>
  <si>
    <t>TB991749</t>
  </si>
  <si>
    <t>Anthony Caesar</t>
  </si>
  <si>
    <t>TB545319</t>
  </si>
  <si>
    <t>Elizabeth Suraj</t>
  </si>
  <si>
    <t>TB070860</t>
  </si>
  <si>
    <t>Gabrielle Victor-Marin</t>
  </si>
  <si>
    <t>TB805221</t>
  </si>
  <si>
    <t>Gail Koo</t>
  </si>
  <si>
    <t>TB656895</t>
  </si>
  <si>
    <t>Jeremy Francis</t>
  </si>
  <si>
    <t>TB711397</t>
  </si>
  <si>
    <t>Lesel de Silva</t>
  </si>
  <si>
    <t>TB913543</t>
  </si>
  <si>
    <t>Mark Mahabir</t>
  </si>
  <si>
    <t>TB588342</t>
  </si>
  <si>
    <t>Michael Joseph</t>
  </si>
  <si>
    <t>TB857752</t>
  </si>
  <si>
    <t>Nagil Sampath</t>
  </si>
  <si>
    <t>TB432792</t>
  </si>
  <si>
    <t>Sabrina Acham</t>
  </si>
  <si>
    <t>TB610665</t>
  </si>
  <si>
    <t>Sarah Sampath</t>
  </si>
  <si>
    <t>TC134120</t>
  </si>
  <si>
    <t>Susheila Lalla</t>
  </si>
  <si>
    <t>TB927729</t>
  </si>
  <si>
    <t>Vinola Griffith</t>
  </si>
  <si>
    <t>TB627759</t>
  </si>
  <si>
    <t xml:space="preserve">NOMBRES </t>
  </si>
  <si>
    <t>EDAD</t>
  </si>
  <si>
    <t xml:space="preserve">ALIMENTACION </t>
  </si>
  <si>
    <t>ENTRADAS</t>
  </si>
  <si>
    <t>CITY TOUR (POPA Y CASTILLO)</t>
  </si>
  <si>
    <t>BARRANQUILLA (TREN)</t>
  </si>
  <si>
    <t>GETSEMANI (MUSEO +ANTROPICO)</t>
  </si>
  <si>
    <t xml:space="preserve">GUIAS </t>
  </si>
  <si>
    <t>STAFF</t>
  </si>
  <si>
    <t xml:space="preserve">LIBRE </t>
  </si>
  <si>
    <t>CITY TOUR  PALENQUERA</t>
  </si>
  <si>
    <t>VISITA UNIVERSIDAD</t>
  </si>
  <si>
    <t>UNISINU</t>
  </si>
  <si>
    <t xml:space="preserve">2 HORAS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</si>
</sst>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6"/>
      <color theme="1"/>
      <name val="Bahnschrift"/>
      <family val="2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0B57D0"/>
      <name val="Google Symbols"/>
    </font>
    <font>
      <sz val="11"/>
      <color rgb="FF1F1F1F"/>
      <name val="Google Symbols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42" fontId="7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5" fillId="0" borderId="7" xfId="0" applyFont="1" applyBorder="1" applyAlignment="1">
      <alignment horizontal="center" vertical="center" wrapText="1"/>
    </xf>
    <xf numFmtId="42" fontId="7" fillId="0" borderId="8" xfId="1" applyNumberFormat="1" applyFont="1" applyBorder="1"/>
    <xf numFmtId="42" fontId="7" fillId="0" borderId="9" xfId="1" applyNumberFormat="1" applyFont="1" applyBorder="1"/>
    <xf numFmtId="42" fontId="7" fillId="0" borderId="10" xfId="1" applyNumberFormat="1" applyFont="1" applyBorder="1"/>
    <xf numFmtId="42" fontId="7" fillId="0" borderId="11" xfId="1" applyNumberFormat="1" applyFont="1" applyFill="1" applyBorder="1"/>
    <xf numFmtId="0" fontId="0" fillId="0" borderId="6" xfId="0" applyBorder="1"/>
    <xf numFmtId="0" fontId="2" fillId="0" borderId="12" xfId="0" applyFont="1" applyBorder="1"/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2" applyAlignment="1">
      <alignment horizontal="left" vertical="center" wrapText="1"/>
    </xf>
    <xf numFmtId="0" fontId="11" fillId="0" borderId="0" xfId="2" applyAlignment="1">
      <alignment horizontal="right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left" vertical="center" wrapText="1"/>
    </xf>
    <xf numFmtId="0" fontId="2" fillId="0" borderId="12" xfId="0" applyFont="1" applyBorder="1" applyAlignment="1">
      <alignment horizont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20" fontId="0" fillId="0" borderId="0" xfId="0" applyNumberFormat="1"/>
    <xf numFmtId="0" fontId="7" fillId="2" borderId="12" xfId="0" applyFont="1" applyFill="1" applyBorder="1" applyAlignment="1">
      <alignment vertical="center" wrapText="1"/>
    </xf>
    <xf numFmtId="165" fontId="7" fillId="2" borderId="13" xfId="0" applyNumberFormat="1" applyFont="1" applyFill="1" applyBorder="1"/>
    <xf numFmtId="165" fontId="7" fillId="2" borderId="6" xfId="0" applyNumberFormat="1" applyFont="1" applyFill="1" applyBorder="1"/>
    <xf numFmtId="16" fontId="0" fillId="0" borderId="0" xfId="0" applyNumberFormat="1" applyAlignment="1">
      <alignment horizontal="center"/>
    </xf>
    <xf numFmtId="0" fontId="14" fillId="0" borderId="0" xfId="0" applyFont="1"/>
    <xf numFmtId="164" fontId="0" fillId="0" borderId="0" xfId="0" applyNumberFormat="1"/>
    <xf numFmtId="164" fontId="0" fillId="2" borderId="0" xfId="0" applyNumberFormat="1" applyFill="1"/>
    <xf numFmtId="0" fontId="16" fillId="0" borderId="0" xfId="0" applyFont="1" applyAlignment="1">
      <alignment vertical="center"/>
    </xf>
    <xf numFmtId="0" fontId="15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 wrapText="1"/>
    </xf>
    <xf numFmtId="165" fontId="0" fillId="0" borderId="0" xfId="0" applyNumberFormat="1"/>
    <xf numFmtId="165" fontId="2" fillId="0" borderId="0" xfId="0" applyNumberFormat="1" applyFont="1"/>
    <xf numFmtId="164" fontId="2" fillId="0" borderId="0" xfId="0" applyNumberFormat="1" applyFont="1"/>
    <xf numFmtId="165" fontId="2" fillId="0" borderId="12" xfId="0" applyNumberFormat="1" applyFont="1" applyBorder="1"/>
    <xf numFmtId="165" fontId="13" fillId="0" borderId="0" xfId="0" applyNumberFormat="1" applyFont="1"/>
    <xf numFmtId="42" fontId="0" fillId="0" borderId="0" xfId="0" applyNumberForma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792E6-651F-44DF-AD41-46E7D8158D2C}">
  <dimension ref="B3:F71"/>
  <sheetViews>
    <sheetView tabSelected="1" workbookViewId="0">
      <selection activeCell="G66" sqref="G66"/>
    </sheetView>
  </sheetViews>
  <sheetFormatPr baseColWidth="10" defaultRowHeight="14.4"/>
  <cols>
    <col min="2" max="2" width="13.77734375" bestFit="1" customWidth="1"/>
    <col min="3" max="3" width="33.44140625" bestFit="1" customWidth="1"/>
    <col min="4" max="4" width="17.5546875" customWidth="1"/>
    <col min="5" max="5" width="13.109375" bestFit="1" customWidth="1"/>
    <col min="6" max="6" width="12.77734375" bestFit="1" customWidth="1"/>
  </cols>
  <sheetData>
    <row r="3" spans="2:5" ht="15" thickBot="1"/>
    <row r="4" spans="2:5" ht="52.2" thickBot="1">
      <c r="C4" s="10" t="s">
        <v>16</v>
      </c>
      <c r="D4" s="12" t="s">
        <v>17</v>
      </c>
      <c r="E4" s="34" t="s">
        <v>24</v>
      </c>
    </row>
    <row r="5" spans="2:5" ht="23.4">
      <c r="C5" s="5" t="s">
        <v>18</v>
      </c>
      <c r="D5" s="13">
        <v>75</v>
      </c>
      <c r="E5" s="35">
        <v>90</v>
      </c>
    </row>
    <row r="6" spans="2:5" ht="23.4">
      <c r="C6" s="6" t="s">
        <v>19</v>
      </c>
      <c r="D6" s="14">
        <v>45</v>
      </c>
      <c r="E6" s="36">
        <v>61</v>
      </c>
    </row>
    <row r="7" spans="2:5" ht="23.4">
      <c r="C7" s="6" t="s">
        <v>23</v>
      </c>
      <c r="D7" s="14">
        <v>65</v>
      </c>
      <c r="E7" s="36">
        <v>72</v>
      </c>
    </row>
    <row r="8" spans="2:5" ht="23.4">
      <c r="C8" s="6" t="s">
        <v>20</v>
      </c>
      <c r="D8" s="14">
        <v>20</v>
      </c>
      <c r="E8" s="36">
        <v>33</v>
      </c>
    </row>
    <row r="9" spans="2:5" ht="23.4">
      <c r="C9" s="6" t="s">
        <v>21</v>
      </c>
      <c r="D9" s="14">
        <v>20</v>
      </c>
      <c r="E9" s="36">
        <v>30</v>
      </c>
    </row>
    <row r="10" spans="2:5" ht="23.4">
      <c r="C10" s="6"/>
      <c r="D10" s="14">
        <v>0</v>
      </c>
      <c r="E10" s="36"/>
    </row>
    <row r="11" spans="2:5" ht="23.4">
      <c r="C11" s="7" t="s">
        <v>22</v>
      </c>
      <c r="D11" s="15">
        <v>18</v>
      </c>
      <c r="E11" s="36">
        <v>34</v>
      </c>
    </row>
    <row r="12" spans="2:5" ht="24" thickBot="1">
      <c r="C12" s="8"/>
      <c r="D12" s="16"/>
      <c r="E12" s="17"/>
    </row>
    <row r="13" spans="2:5" ht="24" thickTop="1">
      <c r="D13" s="9">
        <f>D5+D6+D7+D8+D9+D11+D12</f>
        <v>243</v>
      </c>
      <c r="E13" s="9">
        <f>E5+E6+E7+E8+E9+E11+E12</f>
        <v>320</v>
      </c>
    </row>
    <row r="15" spans="2:5" ht="21">
      <c r="B15" s="38" t="s">
        <v>25</v>
      </c>
      <c r="C15" s="11"/>
      <c r="D15" s="11"/>
      <c r="E15" s="11"/>
    </row>
    <row r="17" spans="2:6" ht="15" thickBot="1"/>
    <row r="18" spans="2:6" ht="15" thickBot="1">
      <c r="B18" s="18" t="s">
        <v>11</v>
      </c>
      <c r="C18" s="18" t="s">
        <v>0</v>
      </c>
      <c r="F18" s="56">
        <f>(D13*63)*3900</f>
        <v>59705100</v>
      </c>
    </row>
    <row r="19" spans="2:6">
      <c r="B19" s="28">
        <v>45858</v>
      </c>
      <c r="C19" s="29" t="s">
        <v>1</v>
      </c>
      <c r="D19" s="51">
        <f>300000*2</f>
        <v>600000</v>
      </c>
      <c r="F19" s="56">
        <f>F18-D71</f>
        <v>12547100</v>
      </c>
    </row>
    <row r="20" spans="2:6">
      <c r="B20" s="28">
        <v>45865</v>
      </c>
      <c r="C20" s="29" t="s">
        <v>2</v>
      </c>
      <c r="D20" s="51">
        <f>300000*2</f>
        <v>600000</v>
      </c>
    </row>
    <row r="21" spans="2:6">
      <c r="B21" s="28">
        <v>45859</v>
      </c>
      <c r="C21" s="19" t="s">
        <v>4</v>
      </c>
      <c r="D21" s="51">
        <f>1200000*2</f>
        <v>2400000</v>
      </c>
    </row>
    <row r="22" spans="2:6">
      <c r="B22" s="28">
        <v>45861</v>
      </c>
      <c r="C22" t="s">
        <v>3</v>
      </c>
      <c r="D22" s="51">
        <f>1800000*2</f>
        <v>3600000</v>
      </c>
    </row>
    <row r="23" spans="2:6">
      <c r="B23" s="37">
        <v>45860</v>
      </c>
      <c r="C23" t="s">
        <v>14</v>
      </c>
      <c r="D23" s="51">
        <f>1000000*2</f>
        <v>2000000</v>
      </c>
    </row>
    <row r="24" spans="2:6">
      <c r="B24" s="37">
        <v>45862</v>
      </c>
      <c r="C24" t="s">
        <v>15</v>
      </c>
      <c r="D24" s="51">
        <f>400000*2</f>
        <v>800000</v>
      </c>
    </row>
    <row r="25" spans="2:6">
      <c r="B25" s="37">
        <v>45863</v>
      </c>
      <c r="C25" t="s">
        <v>28</v>
      </c>
      <c r="D25" s="51">
        <f>1400000*2</f>
        <v>2800000</v>
      </c>
    </row>
    <row r="26" spans="2:6">
      <c r="B26" s="37"/>
      <c r="D26" s="52">
        <f>SUM(D19:D25)</f>
        <v>12800000</v>
      </c>
    </row>
    <row r="27" spans="2:6" ht="15" thickBot="1"/>
    <row r="28" spans="2:6" ht="15" thickBot="1">
      <c r="B28" s="57" t="s">
        <v>44</v>
      </c>
      <c r="C28" s="58"/>
      <c r="D28" s="59"/>
    </row>
    <row r="29" spans="2:6">
      <c r="B29" s="29" t="s">
        <v>45</v>
      </c>
      <c r="C29" s="39">
        <v>10000</v>
      </c>
    </row>
    <row r="30" spans="2:6">
      <c r="B30" s="19" t="s">
        <v>4</v>
      </c>
      <c r="C30" s="39">
        <v>10000</v>
      </c>
    </row>
    <row r="31" spans="2:6">
      <c r="B31" t="s">
        <v>3</v>
      </c>
      <c r="C31" s="39">
        <v>30000</v>
      </c>
    </row>
    <row r="32" spans="2:6">
      <c r="B32" t="s">
        <v>14</v>
      </c>
      <c r="C32" s="39">
        <v>30000</v>
      </c>
    </row>
    <row r="33" spans="2:4">
      <c r="B33" t="s">
        <v>15</v>
      </c>
      <c r="C33" s="40"/>
    </row>
    <row r="34" spans="2:4">
      <c r="B34" t="s">
        <v>28</v>
      </c>
      <c r="C34" s="39">
        <v>20000</v>
      </c>
    </row>
    <row r="35" spans="2:4">
      <c r="C35" s="39">
        <f>SUM(C29:C34)</f>
        <v>100000</v>
      </c>
    </row>
    <row r="36" spans="2:4">
      <c r="D36" s="53">
        <f>C35*63</f>
        <v>6300000</v>
      </c>
    </row>
    <row r="37" spans="2:4" ht="15" thickBot="1"/>
    <row r="38" spans="2:4" ht="15" thickBot="1">
      <c r="B38" s="60" t="s">
        <v>179</v>
      </c>
      <c r="C38" s="61"/>
      <c r="D38" s="62"/>
    </row>
    <row r="39" spans="2:4">
      <c r="B39" s="37">
        <v>45860</v>
      </c>
      <c r="C39" t="s">
        <v>187</v>
      </c>
      <c r="D39" s="51">
        <f>5000*63</f>
        <v>315000</v>
      </c>
    </row>
    <row r="40" spans="2:4">
      <c r="B40" s="37">
        <v>45860</v>
      </c>
      <c r="C40" t="s">
        <v>14</v>
      </c>
      <c r="D40" s="51">
        <f>100000*63</f>
        <v>6300000</v>
      </c>
    </row>
    <row r="41" spans="2:4" ht="15" thickBot="1">
      <c r="B41" s="28">
        <v>45861</v>
      </c>
      <c r="C41" t="s">
        <v>3</v>
      </c>
      <c r="D41" s="51">
        <f>100000*63</f>
        <v>6300000</v>
      </c>
    </row>
    <row r="42" spans="2:4" ht="15" thickBot="1">
      <c r="D42" s="54">
        <f>SUM(D39:D41)</f>
        <v>12915000</v>
      </c>
    </row>
    <row r="43" spans="2:4" ht="15" thickBot="1"/>
    <row r="44" spans="2:4" ht="15" thickBot="1">
      <c r="B44" s="57" t="s">
        <v>180</v>
      </c>
      <c r="C44" s="58"/>
      <c r="D44" s="59"/>
    </row>
    <row r="45" spans="2:4">
      <c r="B45" s="37">
        <v>45860</v>
      </c>
      <c r="C45" t="s">
        <v>181</v>
      </c>
      <c r="D45" s="51">
        <f>51000*63</f>
        <v>3213000</v>
      </c>
    </row>
    <row r="46" spans="2:4">
      <c r="B46" s="28">
        <v>45861</v>
      </c>
      <c r="C46" t="s">
        <v>182</v>
      </c>
      <c r="D46" s="51">
        <f>10000*63</f>
        <v>630000</v>
      </c>
    </row>
    <row r="47" spans="2:4">
      <c r="B47" s="37">
        <v>45862</v>
      </c>
      <c r="C47" t="s">
        <v>183</v>
      </c>
      <c r="D47" s="51">
        <f>(80000+20000)*63</f>
        <v>6300000</v>
      </c>
    </row>
    <row r="48" spans="2:4">
      <c r="B48" s="37"/>
      <c r="D48" s="52">
        <f>SUM(D45:D47)</f>
        <v>10143000</v>
      </c>
    </row>
    <row r="49" spans="2:4" ht="15" thickBot="1"/>
    <row r="50" spans="2:4" ht="15" thickBot="1">
      <c r="B50" s="57" t="s">
        <v>184</v>
      </c>
      <c r="C50" s="58"/>
      <c r="D50" s="59"/>
    </row>
    <row r="51" spans="2:4">
      <c r="B51" s="28">
        <v>45858</v>
      </c>
      <c r="C51" s="29" t="s">
        <v>1</v>
      </c>
      <c r="D51" s="51">
        <f>150000*2</f>
        <v>300000</v>
      </c>
    </row>
    <row r="52" spans="2:4">
      <c r="B52" s="28">
        <v>45865</v>
      </c>
      <c r="C52" s="29" t="s">
        <v>2</v>
      </c>
      <c r="D52" s="51">
        <f>150000*2</f>
        <v>300000</v>
      </c>
    </row>
    <row r="53" spans="2:4">
      <c r="B53" s="28">
        <v>45859</v>
      </c>
      <c r="C53" s="19" t="s">
        <v>4</v>
      </c>
      <c r="D53" s="51">
        <f>250000*2</f>
        <v>500000</v>
      </c>
    </row>
    <row r="54" spans="2:4">
      <c r="B54" s="28">
        <v>45861</v>
      </c>
      <c r="C54" t="s">
        <v>3</v>
      </c>
      <c r="D54" s="51">
        <f>350000*2</f>
        <v>700000</v>
      </c>
    </row>
    <row r="55" spans="2:4">
      <c r="B55" s="37">
        <v>45860</v>
      </c>
      <c r="C55" t="s">
        <v>14</v>
      </c>
      <c r="D55" s="51">
        <f>300000*2</f>
        <v>600000</v>
      </c>
    </row>
    <row r="56" spans="2:4">
      <c r="B56" s="37">
        <v>45862</v>
      </c>
      <c r="C56" t="s">
        <v>15</v>
      </c>
      <c r="D56" s="51">
        <f>250000*2</f>
        <v>500000</v>
      </c>
    </row>
    <row r="57" spans="2:4">
      <c r="B57" s="37"/>
      <c r="D57" s="52">
        <f>SUM(D51:D56)</f>
        <v>2900000</v>
      </c>
    </row>
    <row r="59" spans="2:4" ht="15" thickBot="1"/>
    <row r="60" spans="2:4" ht="15" thickBot="1">
      <c r="B60" s="57" t="s">
        <v>185</v>
      </c>
      <c r="C60" s="58"/>
      <c r="D60" s="59"/>
    </row>
    <row r="61" spans="2:4">
      <c r="B61" s="28">
        <v>45858</v>
      </c>
      <c r="C61" s="29" t="s">
        <v>1</v>
      </c>
      <c r="D61" s="51">
        <f>150000*2</f>
        <v>300000</v>
      </c>
    </row>
    <row r="62" spans="2:4">
      <c r="B62" s="28">
        <v>45865</v>
      </c>
      <c r="C62" s="29" t="s">
        <v>2</v>
      </c>
      <c r="D62" s="51">
        <f t="shared" ref="D62:D67" si="0">150000*2</f>
        <v>300000</v>
      </c>
    </row>
    <row r="63" spans="2:4">
      <c r="B63" s="28">
        <v>45859</v>
      </c>
      <c r="C63" s="19" t="s">
        <v>4</v>
      </c>
      <c r="D63" s="51">
        <f t="shared" si="0"/>
        <v>300000</v>
      </c>
    </row>
    <row r="64" spans="2:4">
      <c r="B64" s="28">
        <v>45861</v>
      </c>
      <c r="C64" t="s">
        <v>3</v>
      </c>
      <c r="D64" s="51">
        <f t="shared" si="0"/>
        <v>300000</v>
      </c>
    </row>
    <row r="65" spans="2:4">
      <c r="B65" s="37">
        <v>45860</v>
      </c>
      <c r="C65" t="s">
        <v>14</v>
      </c>
      <c r="D65" s="51">
        <f t="shared" si="0"/>
        <v>300000</v>
      </c>
    </row>
    <row r="66" spans="2:4">
      <c r="B66" s="37">
        <v>45862</v>
      </c>
      <c r="C66" t="s">
        <v>15</v>
      </c>
      <c r="D66" s="51">
        <f t="shared" si="0"/>
        <v>300000</v>
      </c>
    </row>
    <row r="67" spans="2:4">
      <c r="B67" s="37">
        <v>45863</v>
      </c>
      <c r="C67" t="s">
        <v>28</v>
      </c>
      <c r="D67" s="51">
        <f t="shared" si="0"/>
        <v>300000</v>
      </c>
    </row>
    <row r="68" spans="2:4">
      <c r="B68" s="37">
        <v>45864</v>
      </c>
      <c r="C68" t="s">
        <v>186</v>
      </c>
    </row>
    <row r="69" spans="2:4">
      <c r="D69" s="52">
        <f>SUM(D61:D68)</f>
        <v>2100000</v>
      </c>
    </row>
    <row r="71" spans="2:4" ht="18">
      <c r="D71" s="55">
        <f>D69+D57+D48+D42+D36+D26</f>
        <v>47158000</v>
      </c>
    </row>
  </sheetData>
  <mergeCells count="5">
    <mergeCell ref="B60:D60"/>
    <mergeCell ref="B38:D38"/>
    <mergeCell ref="B44:D44"/>
    <mergeCell ref="B28:D28"/>
    <mergeCell ref="B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7146-E868-41BF-849C-93C07B435C65}">
  <dimension ref="B3:J70"/>
  <sheetViews>
    <sheetView workbookViewId="0">
      <selection activeCell="G17" sqref="G17"/>
    </sheetView>
  </sheetViews>
  <sheetFormatPr baseColWidth="10" defaultRowHeight="14.4"/>
  <cols>
    <col min="2" max="2" width="28.5546875" bestFit="1" customWidth="1"/>
    <col min="3" max="3" width="23.88671875" customWidth="1"/>
    <col min="4" max="4" width="16" customWidth="1"/>
    <col min="9" max="9" width="28.5546875" bestFit="1" customWidth="1"/>
  </cols>
  <sheetData>
    <row r="3" spans="2:10" ht="18">
      <c r="B3" s="49" t="s">
        <v>46</v>
      </c>
      <c r="C3" s="49" t="s">
        <v>47</v>
      </c>
      <c r="D3" s="50" t="s">
        <v>48</v>
      </c>
      <c r="I3" t="s">
        <v>177</v>
      </c>
      <c r="J3" t="s">
        <v>178</v>
      </c>
    </row>
    <row r="4" spans="2:10" ht="15.6">
      <c r="B4" s="41" t="s">
        <v>49</v>
      </c>
      <c r="C4" s="43"/>
      <c r="D4" s="44"/>
      <c r="H4">
        <v>1</v>
      </c>
      <c r="I4" t="s">
        <v>78</v>
      </c>
      <c r="J4">
        <v>11</v>
      </c>
    </row>
    <row r="5" spans="2:10" ht="15.6">
      <c r="B5" s="45" t="s">
        <v>50</v>
      </c>
      <c r="C5" s="45" t="s">
        <v>51</v>
      </c>
      <c r="D5" s="46">
        <v>15</v>
      </c>
      <c r="H5">
        <v>2</v>
      </c>
      <c r="I5" t="s">
        <v>52</v>
      </c>
      <c r="J5">
        <v>12</v>
      </c>
    </row>
    <row r="6" spans="2:10" ht="15.6">
      <c r="B6" s="45" t="s">
        <v>52</v>
      </c>
      <c r="C6" s="45" t="s">
        <v>53</v>
      </c>
      <c r="D6" s="46">
        <v>12</v>
      </c>
      <c r="H6">
        <v>3</v>
      </c>
      <c r="I6" t="s">
        <v>84</v>
      </c>
      <c r="J6">
        <v>12</v>
      </c>
    </row>
    <row r="7" spans="2:10" ht="15.6">
      <c r="B7" s="45" t="s">
        <v>54</v>
      </c>
      <c r="C7" s="45" t="s">
        <v>55</v>
      </c>
      <c r="D7" s="46">
        <v>14</v>
      </c>
      <c r="H7">
        <v>4</v>
      </c>
      <c r="I7" t="s">
        <v>86</v>
      </c>
      <c r="J7">
        <v>12</v>
      </c>
    </row>
    <row r="8" spans="2:10" ht="15.6">
      <c r="B8" s="45" t="s">
        <v>56</v>
      </c>
      <c r="C8" s="45" t="s">
        <v>57</v>
      </c>
      <c r="D8" s="46">
        <v>15</v>
      </c>
      <c r="H8">
        <v>5</v>
      </c>
      <c r="I8" t="s">
        <v>112</v>
      </c>
      <c r="J8">
        <v>12</v>
      </c>
    </row>
    <row r="9" spans="2:10" ht="15.6">
      <c r="B9" s="45" t="s">
        <v>58</v>
      </c>
      <c r="C9" s="45" t="s">
        <v>59</v>
      </c>
      <c r="D9" s="46">
        <v>18</v>
      </c>
      <c r="H9">
        <v>6</v>
      </c>
      <c r="I9" t="s">
        <v>82</v>
      </c>
      <c r="J9">
        <v>13</v>
      </c>
    </row>
    <row r="10" spans="2:10" ht="15.6">
      <c r="B10" s="45" t="s">
        <v>60</v>
      </c>
      <c r="C10" s="45" t="s">
        <v>61</v>
      </c>
      <c r="D10" s="46">
        <v>15</v>
      </c>
      <c r="H10">
        <v>7</v>
      </c>
      <c r="I10" t="s">
        <v>96</v>
      </c>
      <c r="J10">
        <v>13</v>
      </c>
    </row>
    <row r="11" spans="2:10" ht="15.6">
      <c r="B11" s="45" t="s">
        <v>62</v>
      </c>
      <c r="C11" s="45" t="s">
        <v>63</v>
      </c>
      <c r="D11" s="46">
        <v>15</v>
      </c>
      <c r="H11">
        <v>8</v>
      </c>
      <c r="I11" t="s">
        <v>108</v>
      </c>
      <c r="J11">
        <v>13</v>
      </c>
    </row>
    <row r="12" spans="2:10" ht="15.6">
      <c r="B12" s="45" t="s">
        <v>64</v>
      </c>
      <c r="C12" s="45" t="s">
        <v>65</v>
      </c>
      <c r="D12" s="46">
        <v>16</v>
      </c>
      <c r="H12">
        <v>9</v>
      </c>
      <c r="I12" t="s">
        <v>54</v>
      </c>
      <c r="J12">
        <v>14</v>
      </c>
    </row>
    <row r="13" spans="2:10" ht="15.6">
      <c r="B13" s="45" t="s">
        <v>66</v>
      </c>
      <c r="C13" s="45" t="s">
        <v>67</v>
      </c>
      <c r="D13" s="46">
        <v>14</v>
      </c>
      <c r="H13">
        <v>10</v>
      </c>
      <c r="I13" t="s">
        <v>66</v>
      </c>
      <c r="J13">
        <v>14</v>
      </c>
    </row>
    <row r="14" spans="2:10" ht="15.6">
      <c r="B14" s="45" t="s">
        <v>68</v>
      </c>
      <c r="C14" s="45" t="s">
        <v>69</v>
      </c>
      <c r="D14" s="46">
        <v>15</v>
      </c>
      <c r="H14">
        <v>11</v>
      </c>
      <c r="I14" t="s">
        <v>90</v>
      </c>
      <c r="J14">
        <v>14</v>
      </c>
    </row>
    <row r="15" spans="2:10" ht="15.6">
      <c r="B15" s="45" t="s">
        <v>70</v>
      </c>
      <c r="C15" s="45" t="s">
        <v>71</v>
      </c>
      <c r="D15" s="46">
        <v>16</v>
      </c>
      <c r="H15">
        <v>12</v>
      </c>
      <c r="I15" t="s">
        <v>92</v>
      </c>
      <c r="J15">
        <v>14</v>
      </c>
    </row>
    <row r="16" spans="2:10" ht="15.6">
      <c r="B16" s="45" t="s">
        <v>72</v>
      </c>
      <c r="C16" s="45" t="s">
        <v>73</v>
      </c>
      <c r="D16" s="46">
        <v>18</v>
      </c>
      <c r="H16">
        <v>13</v>
      </c>
      <c r="I16" t="s">
        <v>104</v>
      </c>
      <c r="J16">
        <v>14</v>
      </c>
    </row>
    <row r="17" spans="2:10" ht="15.6">
      <c r="B17" s="45" t="s">
        <v>74</v>
      </c>
      <c r="C17" s="47" t="s">
        <v>75</v>
      </c>
      <c r="D17" s="46">
        <v>16</v>
      </c>
      <c r="H17">
        <v>14</v>
      </c>
      <c r="I17" t="s">
        <v>110</v>
      </c>
      <c r="J17">
        <v>14</v>
      </c>
    </row>
    <row r="18" spans="2:10" ht="15.6">
      <c r="B18" s="45" t="s">
        <v>76</v>
      </c>
      <c r="C18" s="45" t="s">
        <v>77</v>
      </c>
      <c r="D18" s="46">
        <v>15</v>
      </c>
      <c r="H18">
        <v>15</v>
      </c>
      <c r="I18" t="s">
        <v>116</v>
      </c>
      <c r="J18">
        <v>14</v>
      </c>
    </row>
    <row r="19" spans="2:10" ht="15.6">
      <c r="B19" s="45" t="s">
        <v>78</v>
      </c>
      <c r="C19" s="45" t="s">
        <v>79</v>
      </c>
      <c r="D19" s="46">
        <v>11</v>
      </c>
      <c r="H19">
        <v>16</v>
      </c>
      <c r="I19" t="s">
        <v>134</v>
      </c>
      <c r="J19">
        <v>14</v>
      </c>
    </row>
    <row r="20" spans="2:10" ht="15.6">
      <c r="B20" s="45" t="s">
        <v>80</v>
      </c>
      <c r="C20" s="45" t="s">
        <v>81</v>
      </c>
      <c r="D20" s="46">
        <v>15</v>
      </c>
      <c r="H20">
        <v>17</v>
      </c>
      <c r="I20" t="s">
        <v>138</v>
      </c>
      <c r="J20">
        <v>14</v>
      </c>
    </row>
    <row r="21" spans="2:10" ht="15.6">
      <c r="B21" s="45" t="s">
        <v>82</v>
      </c>
      <c r="C21" s="45" t="s">
        <v>83</v>
      </c>
      <c r="D21" s="46">
        <v>13</v>
      </c>
      <c r="H21">
        <v>18</v>
      </c>
      <c r="I21" t="s">
        <v>50</v>
      </c>
      <c r="J21">
        <v>15</v>
      </c>
    </row>
    <row r="22" spans="2:10" ht="15.6">
      <c r="B22" s="45" t="s">
        <v>84</v>
      </c>
      <c r="C22" s="45" t="s">
        <v>85</v>
      </c>
      <c r="D22" s="46">
        <v>12</v>
      </c>
      <c r="H22">
        <v>19</v>
      </c>
      <c r="I22" t="s">
        <v>56</v>
      </c>
      <c r="J22">
        <v>15</v>
      </c>
    </row>
    <row r="23" spans="2:10" ht="15.6">
      <c r="B23" s="45" t="s">
        <v>86</v>
      </c>
      <c r="C23" s="45" t="s">
        <v>87</v>
      </c>
      <c r="D23" s="46">
        <v>12</v>
      </c>
      <c r="H23">
        <v>20</v>
      </c>
      <c r="I23" t="s">
        <v>60</v>
      </c>
      <c r="J23">
        <v>15</v>
      </c>
    </row>
    <row r="24" spans="2:10" ht="15.6">
      <c r="B24" s="45" t="s">
        <v>88</v>
      </c>
      <c r="C24" s="45" t="s">
        <v>89</v>
      </c>
      <c r="D24" s="46">
        <v>16</v>
      </c>
      <c r="H24">
        <v>21</v>
      </c>
      <c r="I24" t="s">
        <v>62</v>
      </c>
      <c r="J24">
        <v>15</v>
      </c>
    </row>
    <row r="25" spans="2:10" ht="15.6">
      <c r="B25" s="45" t="s">
        <v>90</v>
      </c>
      <c r="C25" s="45" t="s">
        <v>91</v>
      </c>
      <c r="D25" s="46">
        <v>14</v>
      </c>
      <c r="H25">
        <v>22</v>
      </c>
      <c r="I25" t="s">
        <v>68</v>
      </c>
      <c r="J25">
        <v>15</v>
      </c>
    </row>
    <row r="26" spans="2:10" ht="15.6">
      <c r="B26" s="45" t="s">
        <v>92</v>
      </c>
      <c r="C26" s="45" t="s">
        <v>93</v>
      </c>
      <c r="D26" s="46">
        <v>14</v>
      </c>
      <c r="H26">
        <v>23</v>
      </c>
      <c r="I26" t="s">
        <v>76</v>
      </c>
      <c r="J26">
        <v>15</v>
      </c>
    </row>
    <row r="27" spans="2:10" ht="15.6">
      <c r="B27" s="45" t="s">
        <v>94</v>
      </c>
      <c r="C27" s="45" t="s">
        <v>95</v>
      </c>
      <c r="D27" s="46">
        <v>17</v>
      </c>
      <c r="H27">
        <v>24</v>
      </c>
      <c r="I27" t="s">
        <v>80</v>
      </c>
      <c r="J27">
        <v>15</v>
      </c>
    </row>
    <row r="28" spans="2:10" ht="15.6">
      <c r="B28" s="45" t="s">
        <v>96</v>
      </c>
      <c r="C28" s="45" t="s">
        <v>97</v>
      </c>
      <c r="D28" s="46">
        <v>13</v>
      </c>
      <c r="H28">
        <v>25</v>
      </c>
      <c r="I28" t="s">
        <v>120</v>
      </c>
      <c r="J28">
        <v>15</v>
      </c>
    </row>
    <row r="29" spans="2:10" ht="15.6">
      <c r="B29" s="45" t="s">
        <v>98</v>
      </c>
      <c r="C29" s="43" t="s">
        <v>99</v>
      </c>
      <c r="D29" s="46">
        <v>16</v>
      </c>
      <c r="H29">
        <v>26</v>
      </c>
      <c r="I29" t="s">
        <v>122</v>
      </c>
      <c r="J29">
        <v>15</v>
      </c>
    </row>
    <row r="30" spans="2:10" ht="15.6">
      <c r="B30" s="45" t="s">
        <v>100</v>
      </c>
      <c r="C30" s="45" t="s">
        <v>101</v>
      </c>
      <c r="D30" s="46">
        <v>16</v>
      </c>
      <c r="H30">
        <v>27</v>
      </c>
      <c r="I30" t="s">
        <v>124</v>
      </c>
      <c r="J30">
        <v>15</v>
      </c>
    </row>
    <row r="31" spans="2:10" ht="15.6">
      <c r="B31" s="45" t="s">
        <v>102</v>
      </c>
      <c r="C31" s="45" t="s">
        <v>103</v>
      </c>
      <c r="D31" s="46">
        <v>16</v>
      </c>
      <c r="H31">
        <v>28</v>
      </c>
      <c r="I31" t="s">
        <v>128</v>
      </c>
      <c r="J31">
        <v>15</v>
      </c>
    </row>
    <row r="32" spans="2:10" ht="15.6">
      <c r="B32" s="45" t="s">
        <v>104</v>
      </c>
      <c r="C32" s="45" t="s">
        <v>105</v>
      </c>
      <c r="D32" s="46">
        <v>14</v>
      </c>
      <c r="H32">
        <v>29</v>
      </c>
      <c r="I32" t="s">
        <v>130</v>
      </c>
      <c r="J32">
        <v>15</v>
      </c>
    </row>
    <row r="33" spans="2:10" ht="15.6">
      <c r="B33" s="45" t="s">
        <v>106</v>
      </c>
      <c r="C33" s="45" t="s">
        <v>107</v>
      </c>
      <c r="D33" s="46">
        <v>16</v>
      </c>
      <c r="H33">
        <v>30</v>
      </c>
      <c r="I33" t="s">
        <v>136</v>
      </c>
      <c r="J33">
        <v>15</v>
      </c>
    </row>
    <row r="34" spans="2:10" ht="15.6">
      <c r="B34" s="45" t="s">
        <v>108</v>
      </c>
      <c r="C34" s="45" t="s">
        <v>109</v>
      </c>
      <c r="D34" s="46">
        <v>13</v>
      </c>
      <c r="H34">
        <v>31</v>
      </c>
      <c r="I34" t="s">
        <v>140</v>
      </c>
      <c r="J34">
        <v>15</v>
      </c>
    </row>
    <row r="35" spans="2:10" ht="15.6">
      <c r="B35" s="45" t="s">
        <v>110</v>
      </c>
      <c r="C35" s="45" t="s">
        <v>111</v>
      </c>
      <c r="D35" s="46">
        <v>14</v>
      </c>
      <c r="H35">
        <v>32</v>
      </c>
      <c r="I35" t="s">
        <v>142</v>
      </c>
      <c r="J35">
        <v>15</v>
      </c>
    </row>
    <row r="36" spans="2:10" ht="15.6">
      <c r="B36" s="45" t="s">
        <v>112</v>
      </c>
      <c r="C36" s="45" t="s">
        <v>113</v>
      </c>
      <c r="D36" s="46">
        <v>12</v>
      </c>
      <c r="H36">
        <v>33</v>
      </c>
      <c r="I36" t="s">
        <v>64</v>
      </c>
      <c r="J36">
        <v>16</v>
      </c>
    </row>
    <row r="37" spans="2:10" ht="15.6">
      <c r="B37" s="45" t="s">
        <v>114</v>
      </c>
      <c r="C37" s="45" t="s">
        <v>115</v>
      </c>
      <c r="D37" s="46">
        <v>16</v>
      </c>
      <c r="H37">
        <v>34</v>
      </c>
      <c r="I37" t="s">
        <v>70</v>
      </c>
      <c r="J37">
        <v>16</v>
      </c>
    </row>
    <row r="38" spans="2:10" ht="15.6">
      <c r="B38" s="45" t="s">
        <v>116</v>
      </c>
      <c r="C38" s="45" t="s">
        <v>117</v>
      </c>
      <c r="D38" s="46">
        <v>14</v>
      </c>
      <c r="H38">
        <v>35</v>
      </c>
      <c r="I38" t="s">
        <v>74</v>
      </c>
      <c r="J38">
        <v>16</v>
      </c>
    </row>
    <row r="39" spans="2:10" ht="15.6">
      <c r="B39" s="45" t="s">
        <v>118</v>
      </c>
      <c r="C39" s="45" t="s">
        <v>119</v>
      </c>
      <c r="D39" s="46">
        <v>18</v>
      </c>
      <c r="H39">
        <v>36</v>
      </c>
      <c r="I39" t="s">
        <v>88</v>
      </c>
      <c r="J39">
        <v>16</v>
      </c>
    </row>
    <row r="40" spans="2:10" ht="15.6">
      <c r="B40" s="45" t="s">
        <v>120</v>
      </c>
      <c r="C40" s="45" t="s">
        <v>121</v>
      </c>
      <c r="D40" s="46">
        <v>15</v>
      </c>
      <c r="H40">
        <v>37</v>
      </c>
      <c r="I40" t="s">
        <v>98</v>
      </c>
      <c r="J40">
        <v>16</v>
      </c>
    </row>
    <row r="41" spans="2:10" ht="15.6">
      <c r="B41" s="45" t="s">
        <v>122</v>
      </c>
      <c r="C41" s="45" t="s">
        <v>123</v>
      </c>
      <c r="D41" s="46">
        <v>15</v>
      </c>
      <c r="H41">
        <v>38</v>
      </c>
      <c r="I41" t="s">
        <v>100</v>
      </c>
      <c r="J41">
        <v>16</v>
      </c>
    </row>
    <row r="42" spans="2:10" ht="15.6">
      <c r="B42" s="45" t="s">
        <v>124</v>
      </c>
      <c r="C42" s="45" t="s">
        <v>125</v>
      </c>
      <c r="D42" s="46">
        <v>15</v>
      </c>
      <c r="H42">
        <v>39</v>
      </c>
      <c r="I42" t="s">
        <v>102</v>
      </c>
      <c r="J42">
        <v>16</v>
      </c>
    </row>
    <row r="43" spans="2:10" ht="15.6">
      <c r="B43" s="45" t="s">
        <v>126</v>
      </c>
      <c r="C43" s="45" t="s">
        <v>127</v>
      </c>
      <c r="D43" s="46">
        <v>16</v>
      </c>
      <c r="H43">
        <v>40</v>
      </c>
      <c r="I43" t="s">
        <v>106</v>
      </c>
      <c r="J43">
        <v>16</v>
      </c>
    </row>
    <row r="44" spans="2:10" ht="15.6">
      <c r="B44" s="45" t="s">
        <v>128</v>
      </c>
      <c r="C44" s="45" t="s">
        <v>129</v>
      </c>
      <c r="D44" s="46">
        <v>15</v>
      </c>
      <c r="H44">
        <v>41</v>
      </c>
      <c r="I44" t="s">
        <v>114</v>
      </c>
      <c r="J44">
        <v>16</v>
      </c>
    </row>
    <row r="45" spans="2:10" ht="15.6">
      <c r="B45" s="45" t="s">
        <v>130</v>
      </c>
      <c r="C45" s="45" t="s">
        <v>131</v>
      </c>
      <c r="D45" s="46">
        <v>15</v>
      </c>
      <c r="H45">
        <v>42</v>
      </c>
      <c r="I45" t="s">
        <v>126</v>
      </c>
      <c r="J45">
        <v>16</v>
      </c>
    </row>
    <row r="46" spans="2:10" ht="15.6">
      <c r="B46" s="45" t="s">
        <v>132</v>
      </c>
      <c r="C46" s="45" t="s">
        <v>133</v>
      </c>
      <c r="D46" s="46">
        <v>18</v>
      </c>
      <c r="H46">
        <v>43</v>
      </c>
      <c r="I46" s="45" t="s">
        <v>94</v>
      </c>
      <c r="J46" s="48">
        <v>17</v>
      </c>
    </row>
    <row r="47" spans="2:10" ht="15.6">
      <c r="B47" s="45" t="s">
        <v>134</v>
      </c>
      <c r="C47" s="45" t="s">
        <v>135</v>
      </c>
      <c r="D47" s="46">
        <v>14</v>
      </c>
      <c r="H47">
        <v>44</v>
      </c>
      <c r="I47" s="45" t="s">
        <v>58</v>
      </c>
      <c r="J47" s="48">
        <v>18</v>
      </c>
    </row>
    <row r="48" spans="2:10" ht="15.6">
      <c r="B48" s="45" t="s">
        <v>136</v>
      </c>
      <c r="C48" s="45" t="s">
        <v>137</v>
      </c>
      <c r="D48" s="46">
        <v>15</v>
      </c>
      <c r="H48">
        <v>45</v>
      </c>
      <c r="I48" s="45" t="s">
        <v>72</v>
      </c>
      <c r="J48" s="48">
        <v>18</v>
      </c>
    </row>
    <row r="49" spans="2:10" ht="15.6">
      <c r="B49" s="45" t="s">
        <v>138</v>
      </c>
      <c r="C49" s="45" t="s">
        <v>139</v>
      </c>
      <c r="D49" s="46">
        <v>14</v>
      </c>
      <c r="H49">
        <v>46</v>
      </c>
      <c r="I49" s="45" t="s">
        <v>118</v>
      </c>
      <c r="J49" s="48">
        <v>18</v>
      </c>
    </row>
    <row r="50" spans="2:10" ht="15.6">
      <c r="B50" s="45" t="s">
        <v>140</v>
      </c>
      <c r="C50" s="45" t="s">
        <v>141</v>
      </c>
      <c r="D50" s="46">
        <v>15</v>
      </c>
      <c r="H50">
        <v>47</v>
      </c>
      <c r="I50" s="45" t="s">
        <v>132</v>
      </c>
      <c r="J50" s="48">
        <v>18</v>
      </c>
    </row>
    <row r="51" spans="2:10" ht="15.6">
      <c r="B51" s="45" t="s">
        <v>142</v>
      </c>
      <c r="C51" s="45" t="s">
        <v>143</v>
      </c>
      <c r="D51" s="46">
        <v>15</v>
      </c>
      <c r="H51">
        <v>48</v>
      </c>
      <c r="I51" s="45" t="s">
        <v>145</v>
      </c>
      <c r="J51" s="48">
        <v>50</v>
      </c>
    </row>
    <row r="52" spans="2:10" ht="15.6">
      <c r="B52" s="45"/>
      <c r="C52" s="45"/>
      <c r="D52" s="46"/>
      <c r="H52">
        <v>49</v>
      </c>
      <c r="I52" s="45" t="s">
        <v>147</v>
      </c>
      <c r="J52" s="48">
        <v>42</v>
      </c>
    </row>
    <row r="53" spans="2:10" ht="15.6">
      <c r="B53" s="41" t="s">
        <v>144</v>
      </c>
      <c r="C53" s="45"/>
      <c r="D53" s="46"/>
      <c r="H53">
        <v>50</v>
      </c>
      <c r="I53" s="45" t="s">
        <v>149</v>
      </c>
      <c r="J53" s="48">
        <v>29</v>
      </c>
    </row>
    <row r="54" spans="2:10" ht="15.6">
      <c r="B54" s="45" t="s">
        <v>145</v>
      </c>
      <c r="C54" s="45" t="s">
        <v>146</v>
      </c>
      <c r="D54" s="46">
        <v>50</v>
      </c>
      <c r="H54">
        <v>51</v>
      </c>
      <c r="I54" s="45" t="s">
        <v>151</v>
      </c>
      <c r="J54" s="48">
        <v>67</v>
      </c>
    </row>
    <row r="55" spans="2:10" ht="15.6">
      <c r="B55" s="45" t="s">
        <v>147</v>
      </c>
      <c r="C55" s="45" t="s">
        <v>148</v>
      </c>
      <c r="D55" s="46">
        <v>42</v>
      </c>
      <c r="H55">
        <v>52</v>
      </c>
      <c r="I55" s="45" t="s">
        <v>153</v>
      </c>
      <c r="J55" s="48">
        <v>57</v>
      </c>
    </row>
    <row r="56" spans="2:10" ht="15.6">
      <c r="B56" s="45" t="s">
        <v>149</v>
      </c>
      <c r="C56" s="45" t="s">
        <v>150</v>
      </c>
      <c r="D56" s="46">
        <v>29</v>
      </c>
      <c r="H56">
        <v>53</v>
      </c>
      <c r="I56" s="45" t="s">
        <v>155</v>
      </c>
      <c r="J56" s="48">
        <v>47</v>
      </c>
    </row>
    <row r="57" spans="2:10" ht="15.6">
      <c r="B57" s="45" t="s">
        <v>151</v>
      </c>
      <c r="C57" s="45" t="s">
        <v>152</v>
      </c>
      <c r="D57" s="46">
        <v>67</v>
      </c>
      <c r="H57">
        <v>54</v>
      </c>
      <c r="I57" s="45" t="s">
        <v>157</v>
      </c>
      <c r="J57" s="48">
        <v>57</v>
      </c>
    </row>
    <row r="58" spans="2:10" ht="15.6">
      <c r="B58" s="45" t="s">
        <v>153</v>
      </c>
      <c r="C58" s="45" t="s">
        <v>154</v>
      </c>
      <c r="D58" s="46">
        <v>57</v>
      </c>
      <c r="H58">
        <v>55</v>
      </c>
      <c r="I58" s="45" t="s">
        <v>159</v>
      </c>
      <c r="J58" s="48">
        <v>47</v>
      </c>
    </row>
    <row r="59" spans="2:10" ht="15.6">
      <c r="B59" s="45" t="s">
        <v>155</v>
      </c>
      <c r="C59" s="45" t="s">
        <v>156</v>
      </c>
      <c r="D59" s="46">
        <v>47</v>
      </c>
      <c r="H59">
        <v>56</v>
      </c>
      <c r="I59" s="45" t="s">
        <v>161</v>
      </c>
      <c r="J59" s="48">
        <v>56</v>
      </c>
    </row>
    <row r="60" spans="2:10" ht="15.6">
      <c r="B60" s="45" t="s">
        <v>157</v>
      </c>
      <c r="C60" s="45" t="s">
        <v>158</v>
      </c>
      <c r="D60" s="46">
        <v>57</v>
      </c>
      <c r="H60">
        <v>57</v>
      </c>
      <c r="I60" s="45" t="s">
        <v>163</v>
      </c>
      <c r="J60" s="48">
        <v>53</v>
      </c>
    </row>
    <row r="61" spans="2:10" ht="15.6">
      <c r="B61" s="45" t="s">
        <v>159</v>
      </c>
      <c r="C61" s="45" t="s">
        <v>160</v>
      </c>
      <c r="D61" s="46">
        <v>47</v>
      </c>
      <c r="H61">
        <v>58</v>
      </c>
      <c r="I61" s="45" t="s">
        <v>165</v>
      </c>
      <c r="J61" s="48">
        <v>62</v>
      </c>
    </row>
    <row r="62" spans="2:10" ht="15.6">
      <c r="B62" s="45" t="s">
        <v>161</v>
      </c>
      <c r="C62" s="45" t="s">
        <v>162</v>
      </c>
      <c r="D62" s="46">
        <v>56</v>
      </c>
      <c r="H62">
        <v>59</v>
      </c>
      <c r="I62" s="45" t="s">
        <v>167</v>
      </c>
      <c r="J62" s="48">
        <v>45</v>
      </c>
    </row>
    <row r="63" spans="2:10" ht="15.6">
      <c r="B63" s="45" t="s">
        <v>163</v>
      </c>
      <c r="C63" s="45" t="s">
        <v>164</v>
      </c>
      <c r="D63" s="46">
        <v>53</v>
      </c>
      <c r="H63">
        <v>60</v>
      </c>
      <c r="I63" s="45" t="s">
        <v>169</v>
      </c>
      <c r="J63" s="48">
        <v>27</v>
      </c>
    </row>
    <row r="64" spans="2:10" ht="15.6">
      <c r="B64" s="45" t="s">
        <v>165</v>
      </c>
      <c r="C64" s="45" t="s">
        <v>166</v>
      </c>
      <c r="D64" s="46">
        <v>62</v>
      </c>
      <c r="H64">
        <v>61</v>
      </c>
      <c r="I64" s="45" t="s">
        <v>171</v>
      </c>
      <c r="J64" s="48">
        <v>43</v>
      </c>
    </row>
    <row r="65" spans="2:10" ht="15.6">
      <c r="B65" s="45" t="s">
        <v>167</v>
      </c>
      <c r="C65" s="45" t="s">
        <v>168</v>
      </c>
      <c r="D65" s="46">
        <v>45</v>
      </c>
      <c r="H65">
        <v>62</v>
      </c>
      <c r="I65" s="45" t="s">
        <v>173</v>
      </c>
      <c r="J65" s="48">
        <v>49</v>
      </c>
    </row>
    <row r="66" spans="2:10" ht="15.6">
      <c r="B66" s="45" t="s">
        <v>169</v>
      </c>
      <c r="C66" s="45" t="s">
        <v>170</v>
      </c>
      <c r="D66" s="46">
        <v>27</v>
      </c>
      <c r="H66">
        <v>63</v>
      </c>
      <c r="I66" s="45" t="s">
        <v>175</v>
      </c>
      <c r="J66" s="48">
        <v>44</v>
      </c>
    </row>
    <row r="67" spans="2:10" ht="15.6">
      <c r="B67" s="45" t="s">
        <v>171</v>
      </c>
      <c r="C67" s="45" t="s">
        <v>172</v>
      </c>
      <c r="D67" s="46">
        <v>43</v>
      </c>
    </row>
    <row r="68" spans="2:10" ht="15.6">
      <c r="B68" s="45" t="s">
        <v>173</v>
      </c>
      <c r="C68" s="45" t="s">
        <v>174</v>
      </c>
      <c r="D68" s="46">
        <v>49</v>
      </c>
    </row>
    <row r="69" spans="2:10" ht="15.6">
      <c r="B69" s="45" t="s">
        <v>175</v>
      </c>
      <c r="C69" s="45" t="s">
        <v>176</v>
      </c>
      <c r="D69" s="46">
        <v>44</v>
      </c>
    </row>
    <row r="70" spans="2:10" ht="15.6">
      <c r="B70" s="42"/>
      <c r="C70" s="42"/>
      <c r="D70" s="48"/>
    </row>
  </sheetData>
  <autoFilter ref="B3:D51" xr:uid="{3CF67146-E868-41BF-849C-93C07B435C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7A70-F354-4F24-9258-93883278FD9C}">
  <dimension ref="C2:E15"/>
  <sheetViews>
    <sheetView workbookViewId="0">
      <selection activeCell="F20" sqref="F20"/>
    </sheetView>
  </sheetViews>
  <sheetFormatPr baseColWidth="10" defaultRowHeight="14.4"/>
  <cols>
    <col min="3" max="3" width="18.44140625" bestFit="1" customWidth="1"/>
    <col min="5" max="5" width="29.33203125" customWidth="1"/>
  </cols>
  <sheetData>
    <row r="2" spans="3:5" ht="18">
      <c r="C2" s="4" t="s">
        <v>11</v>
      </c>
      <c r="D2" s="4" t="s">
        <v>12</v>
      </c>
      <c r="E2" s="4" t="s">
        <v>13</v>
      </c>
    </row>
    <row r="4" spans="3:5">
      <c r="C4" s="1" t="s">
        <v>5</v>
      </c>
      <c r="D4" s="2" t="s">
        <v>6</v>
      </c>
      <c r="E4" s="3" t="s">
        <v>9</v>
      </c>
    </row>
    <row r="5" spans="3:5">
      <c r="C5" s="1" t="s">
        <v>8</v>
      </c>
      <c r="D5" s="2" t="s">
        <v>7</v>
      </c>
      <c r="E5" s="3" t="s">
        <v>10</v>
      </c>
    </row>
    <row r="7" spans="3:5" ht="18">
      <c r="C7" s="4" t="s">
        <v>32</v>
      </c>
      <c r="D7" s="4" t="s">
        <v>33</v>
      </c>
      <c r="E7" s="4" t="s">
        <v>34</v>
      </c>
    </row>
    <row r="8" spans="3:5" ht="41.4">
      <c r="C8" s="24" t="s">
        <v>31</v>
      </c>
      <c r="D8" s="25" t="s">
        <v>30</v>
      </c>
      <c r="E8" s="25" t="s">
        <v>29</v>
      </c>
    </row>
    <row r="10" spans="3:5">
      <c r="C10" s="21"/>
    </row>
    <row r="11" spans="3:5">
      <c r="C11" s="22"/>
    </row>
    <row r="12" spans="3:5">
      <c r="C12" s="22"/>
    </row>
    <row r="13" spans="3:5">
      <c r="C13" s="23"/>
    </row>
    <row r="14" spans="3:5">
      <c r="C14" s="21"/>
    </row>
    <row r="15" spans="3:5" ht="17.399999999999999">
      <c r="C15" s="20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F1CD-1076-4956-AF0C-54A694825097}">
  <dimension ref="A2:F14"/>
  <sheetViews>
    <sheetView workbookViewId="0">
      <selection activeCell="G15" sqref="G15"/>
    </sheetView>
  </sheetViews>
  <sheetFormatPr baseColWidth="10" defaultRowHeight="14.4"/>
  <cols>
    <col min="2" max="2" width="26.109375" bestFit="1" customWidth="1"/>
    <col min="3" max="3" width="12.33203125" bestFit="1" customWidth="1"/>
    <col min="4" max="5" width="14.6640625" bestFit="1" customWidth="1"/>
    <col min="6" max="6" width="34.6640625" customWidth="1"/>
  </cols>
  <sheetData>
    <row r="2" spans="1:6" ht="15" thickBot="1"/>
    <row r="3" spans="1:6" ht="15" thickBot="1">
      <c r="A3" s="18" t="s">
        <v>11</v>
      </c>
      <c r="B3" s="18" t="s">
        <v>26</v>
      </c>
      <c r="C3" s="30" t="s">
        <v>36</v>
      </c>
      <c r="D3" s="31" t="s">
        <v>37</v>
      </c>
      <c r="E3" s="32" t="s">
        <v>38</v>
      </c>
      <c r="F3" s="26" t="s">
        <v>35</v>
      </c>
    </row>
    <row r="4" spans="1:6">
      <c r="A4" s="28">
        <v>45858</v>
      </c>
      <c r="B4" s="29" t="s">
        <v>1</v>
      </c>
      <c r="C4" s="33">
        <v>0.4375</v>
      </c>
      <c r="D4" s="2" t="s">
        <v>41</v>
      </c>
      <c r="E4" t="s">
        <v>42</v>
      </c>
    </row>
    <row r="5" spans="1:6">
      <c r="A5" s="28">
        <v>45865</v>
      </c>
      <c r="B5" s="29" t="s">
        <v>2</v>
      </c>
      <c r="C5" s="33">
        <v>0.5</v>
      </c>
      <c r="D5" s="2" t="s">
        <v>41</v>
      </c>
      <c r="E5" t="s">
        <v>43</v>
      </c>
    </row>
    <row r="6" spans="1:6" ht="57.6">
      <c r="A6" s="28">
        <v>45859</v>
      </c>
      <c r="B6" s="19" t="s">
        <v>4</v>
      </c>
      <c r="C6" s="33">
        <v>0.35416666666666669</v>
      </c>
      <c r="D6" s="33">
        <v>0.52083333333333337</v>
      </c>
      <c r="E6" s="27" t="s">
        <v>39</v>
      </c>
      <c r="F6" s="19" t="s">
        <v>40</v>
      </c>
    </row>
    <row r="7" spans="1:6">
      <c r="A7" s="28">
        <v>45859</v>
      </c>
      <c r="B7" s="19" t="s">
        <v>188</v>
      </c>
      <c r="C7" s="33">
        <v>0.58333333333333337</v>
      </c>
      <c r="D7" s="33">
        <v>0.66666666666666663</v>
      </c>
      <c r="E7" s="27" t="s">
        <v>189</v>
      </c>
      <c r="F7" s="19" t="s">
        <v>190</v>
      </c>
    </row>
    <row r="8" spans="1:6">
      <c r="A8" s="28">
        <v>45861</v>
      </c>
      <c r="B8" t="s">
        <v>3</v>
      </c>
      <c r="C8" s="33">
        <v>0.29166666666666669</v>
      </c>
      <c r="D8" s="33">
        <v>0.70833333333333337</v>
      </c>
      <c r="E8" t="s">
        <v>23</v>
      </c>
    </row>
    <row r="10" spans="1:6" ht="15" thickBot="1"/>
    <row r="11" spans="1:6" ht="15" thickBot="1">
      <c r="B11" s="18" t="s">
        <v>27</v>
      </c>
    </row>
    <row r="12" spans="1:6">
      <c r="B12" t="s">
        <v>15</v>
      </c>
    </row>
    <row r="13" spans="1:6">
      <c r="B13" t="s">
        <v>14</v>
      </c>
    </row>
    <row r="14" spans="1:6">
      <c r="B14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BD78-972A-49A3-802C-5C066E04DB41}">
  <dimension ref="A1"/>
  <sheetViews>
    <sheetView workbookViewId="0">
      <selection activeCell="F29" sqref="F29"/>
    </sheetView>
  </sheetViews>
  <sheetFormatPr baseColWidth="10" defaultRowHeight="14.4"/>
  <cols>
    <col min="3" max="3" width="28.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PRESUPUESTO</vt:lpstr>
      <vt:lpstr>LISTADOPASAJEROS</vt:lpstr>
      <vt:lpstr>VUELOS </vt:lpstr>
      <vt:lpstr>TRANSPORTE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Marladi Zurique</dc:creator>
  <cp:lastModifiedBy>Martín García</cp:lastModifiedBy>
  <dcterms:created xsi:type="dcterms:W3CDTF">2025-06-18T15:55:37Z</dcterms:created>
  <dcterms:modified xsi:type="dcterms:W3CDTF">2026-03-18T19:47:06Z</dcterms:modified>
</cp:coreProperties>
</file>