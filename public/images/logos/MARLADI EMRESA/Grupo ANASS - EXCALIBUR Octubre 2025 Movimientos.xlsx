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33604626-382E-49E3-AB80-F0A67D771177}" xr6:coauthVersionLast="47" xr6:coauthVersionMax="47" xr10:uidLastSave="{00000000-0000-0000-0000-000000000000}"/>
  <bookViews>
    <workbookView xWindow="-120" yWindow="-120" windowWidth="29040" windowHeight="15720" xr2:uid="{2B0A3003-4424-464F-AC07-4ACB4E6AF4C4}"/>
  </bookViews>
  <sheets>
    <sheet name="ITINERARIOS" sheetId="1" r:id="rId1"/>
    <sheet name="BEBIDAS CANTIDADES" sheetId="2" r:id="rId2"/>
    <sheet name="RECORRIDO PARA GUI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2" l="1"/>
  <c r="G26" i="2"/>
  <c r="F26" i="2"/>
  <c r="E26" i="2"/>
  <c r="D26" i="2"/>
  <c r="N29" i="1"/>
  <c r="O29" i="1"/>
  <c r="P29" i="1"/>
  <c r="Q29" i="1"/>
  <c r="M29" i="1"/>
</calcChain>
</file>

<file path=xl/sharedStrings.xml><?xml version="1.0" encoding="utf-8"?>
<sst xmlns="http://schemas.openxmlformats.org/spreadsheetml/2006/main" count="269" uniqueCount="143">
  <si>
    <t>HORA</t>
  </si>
  <si>
    <t>DIA 01</t>
  </si>
  <si>
    <t>DIA 02</t>
  </si>
  <si>
    <t>DIA 03</t>
  </si>
  <si>
    <t>DIA 04</t>
  </si>
  <si>
    <t>DIA 05</t>
  </si>
  <si>
    <t>DIA 06</t>
  </si>
  <si>
    <t>MARTES 28</t>
  </si>
  <si>
    <t>MIERCOLES 29</t>
  </si>
  <si>
    <t>JUEVES 30</t>
  </si>
  <si>
    <t>VIERNES 31</t>
  </si>
  <si>
    <t>SÁBADO 01</t>
  </si>
  <si>
    <t>GRUPO EXCALIBUR - ANASS</t>
  </si>
  <si>
    <t>OCTUBRE DE 2025</t>
  </si>
  <si>
    <t>DOMINGO 02</t>
  </si>
  <si>
    <t>GUATAPE</t>
  </si>
  <si>
    <t>AEROPUERTO</t>
  </si>
  <si>
    <t>SHOPPNG DAY</t>
  </si>
  <si>
    <t>CITY TOUR</t>
  </si>
  <si>
    <t>COMUNA 13</t>
  </si>
  <si>
    <t>Recibimiento en Apto</t>
  </si>
  <si>
    <t>Salida</t>
  </si>
  <si>
    <t>Asados Doña Rosa</t>
  </si>
  <si>
    <t>Salida hacia MDE</t>
  </si>
  <si>
    <t>Hotel Tequendama</t>
  </si>
  <si>
    <t>Check in</t>
  </si>
  <si>
    <t>Salida del H.Tequendama</t>
  </si>
  <si>
    <t>3 Buses, Grupo de música</t>
  </si>
  <si>
    <t>2 buses, 1 micro</t>
  </si>
  <si>
    <t>Recorrido</t>
  </si>
  <si>
    <t>Granja de animales</t>
  </si>
  <si>
    <t>Nuevo Peñol</t>
  </si>
  <si>
    <t>Paseo en bote por el embalse</t>
  </si>
  <si>
    <t>Piedra del peñol</t>
  </si>
  <si>
    <t>Ascenso opcional</t>
  </si>
  <si>
    <t>Trovadores</t>
  </si>
  <si>
    <t>Descenso</t>
  </si>
  <si>
    <t>Restaurante Aguas abiertas</t>
  </si>
  <si>
    <t>Almuerzo incluido</t>
  </si>
  <si>
    <t>Guatape</t>
  </si>
  <si>
    <t>Parques del Rio</t>
  </si>
  <si>
    <t>Plaza Mayor</t>
  </si>
  <si>
    <t>Salida H.Tequendama</t>
  </si>
  <si>
    <t>A pie</t>
  </si>
  <si>
    <t>Recorrido C. Deportivo</t>
  </si>
  <si>
    <t>Est. Metro Estadio</t>
  </si>
  <si>
    <t>Est.San Javier</t>
  </si>
  <si>
    <t>Telecable</t>
  </si>
  <si>
    <t>Ascenso panorámico</t>
  </si>
  <si>
    <t>Tomar metro hacia San Antonio</t>
  </si>
  <si>
    <t>Est. Metro San Antonio</t>
  </si>
  <si>
    <t>Palacio nacional</t>
  </si>
  <si>
    <t>Hueco cuadra 2</t>
  </si>
  <si>
    <t>Hueco cuadra 3</t>
  </si>
  <si>
    <t>Salida a P.Paisa</t>
  </si>
  <si>
    <t xml:space="preserve">Recorrido </t>
  </si>
  <si>
    <t>Almuerzo</t>
  </si>
  <si>
    <t>No incluido</t>
  </si>
  <si>
    <t>C.C Gran Plaza</t>
  </si>
  <si>
    <t>Recogida transporte en parque de las luces - Logistica bebidas</t>
  </si>
  <si>
    <t>P.Paisa</t>
  </si>
  <si>
    <t>Outlets Guayabal</t>
  </si>
  <si>
    <t>16:45:00 p. m.</t>
  </si>
  <si>
    <t>Mayorca</t>
  </si>
  <si>
    <t>Experiencia Metro</t>
  </si>
  <si>
    <t>Experiencia Metro Cable</t>
  </si>
  <si>
    <t>P.Pies Descalzos</t>
  </si>
  <si>
    <t>Caminata</t>
  </si>
  <si>
    <t>Plazoleta la Alpujarra-Estacion MDE</t>
  </si>
  <si>
    <t>Parque dela luces</t>
  </si>
  <si>
    <t>Recogida del transporte</t>
  </si>
  <si>
    <t>Bosque de Bambu</t>
  </si>
  <si>
    <t>Catedral Metropolitana</t>
  </si>
  <si>
    <t>Parque de Bolivar</t>
  </si>
  <si>
    <t>Pasaje C.Junin Cuadra 1</t>
  </si>
  <si>
    <t>Punto de encuentro bajos Ed.Coltejer</t>
  </si>
  <si>
    <t>Iglesia de nuesta sra de la Candelaria</t>
  </si>
  <si>
    <t>Pasaje C.Junin Cuadra 2</t>
  </si>
  <si>
    <t>Artesanías</t>
  </si>
  <si>
    <t>Mural Pedro Nel Ospina</t>
  </si>
  <si>
    <t>Plaza de Botero</t>
  </si>
  <si>
    <t>Parte posterior M. Antioquia</t>
  </si>
  <si>
    <t>Recogida transporte - 2 Buses 1 micro</t>
  </si>
  <si>
    <t>Parque de San Antonio</t>
  </si>
  <si>
    <t>Restaurante- Almuerzo</t>
  </si>
  <si>
    <t>Salida para el Hotel</t>
  </si>
  <si>
    <t>Salida del hotel Tequendama</t>
  </si>
  <si>
    <t>Restaurante la Matriarca</t>
  </si>
  <si>
    <t>Salida del restaurante</t>
  </si>
  <si>
    <t>Comuna 13-Graffiti tour</t>
  </si>
  <si>
    <t>Salida dela comuna</t>
  </si>
  <si>
    <t>OBSERVACIONES</t>
  </si>
  <si>
    <t>AGUA 300 ml</t>
  </si>
  <si>
    <t>CERVEZA LATA 270 ml</t>
  </si>
  <si>
    <t>COCA COLA ZERO 250 mg</t>
  </si>
  <si>
    <t>COCA COLA REGULAR 250 mg</t>
  </si>
  <si>
    <t>GATORADE</t>
  </si>
  <si>
    <t>TRANSPORTE</t>
  </si>
  <si>
    <t>BUS 1</t>
  </si>
  <si>
    <t>BUS 2</t>
  </si>
  <si>
    <t>BUS 3</t>
  </si>
  <si>
    <t>PAX</t>
  </si>
  <si>
    <t>MICRO</t>
  </si>
  <si>
    <t>COMPRAS</t>
  </si>
  <si>
    <t>COMUNA</t>
  </si>
  <si>
    <t>TOTAL</t>
  </si>
  <si>
    <t>PACAS  x 24</t>
  </si>
  <si>
    <t>PACAS  x 12</t>
  </si>
  <si>
    <t>VALOR POR PACA</t>
  </si>
  <si>
    <t>BEBIDAS POR DIA - GRUPO ANASS  EXCALIBUR MEDELLIN OCTUBRE 2025</t>
  </si>
  <si>
    <t>zona de oriente, cultivos, flores, frutas</t>
  </si>
  <si>
    <t>Alimentar animales,</t>
  </si>
  <si>
    <t>Fotos con animales</t>
  </si>
  <si>
    <t>Fotos con letreros</t>
  </si>
  <si>
    <t>Degustar fresas, buñuelos</t>
  </si>
  <si>
    <t>almojabanas</t>
  </si>
  <si>
    <t>Visita al Templo de la Roca, artesanias al costado de la iglesia</t>
  </si>
  <si>
    <t>Embarcar en motonave -Trovadores</t>
  </si>
  <si>
    <t>Embalse</t>
  </si>
  <si>
    <t>Tiendas de recuerdos y artesanías</t>
  </si>
  <si>
    <t>Opcional subir a miradores con Spots para fotos</t>
  </si>
  <si>
    <t>Bajar de la piedra</t>
  </si>
  <si>
    <t>Ir al punto d encuentro</t>
  </si>
  <si>
    <t>Salida de la piedra</t>
  </si>
  <si>
    <t>Recorrido en el pueblo</t>
  </si>
  <si>
    <t>Zócales, plaza, iglesia, calle de los recuerdos</t>
  </si>
  <si>
    <t xml:space="preserve">El agua y su importancia, ambiente con proposito relajacion, </t>
  </si>
  <si>
    <t>Relajación</t>
  </si>
  <si>
    <t>recorrido breve, foto letras de Medellin</t>
  </si>
  <si>
    <t>Rio, montaje de luces, escultura 7 montañas mágicas, edificio EPM, entorno y contexto. Fotos</t>
  </si>
  <si>
    <t>Puente azul, parte posterior de la Alpujarra</t>
  </si>
  <si>
    <t>Esculturas, edificios institucionales, historia y contexto escultura Monumento a la raza, foto grupal, locomotara, estación del tren</t>
  </si>
  <si>
    <t>Punto de recogida transporte. 2 buses, 1 Micro</t>
  </si>
  <si>
    <t>Visita a la Catedral, ingreso a la misma,</t>
  </si>
  <si>
    <t>Entorno, historia, estatua del libertador</t>
  </si>
  <si>
    <t>Tiendas de artesanias, tiendas naturistas</t>
  </si>
  <si>
    <t>Pasaje C.Junin Cuadra 3</t>
  </si>
  <si>
    <t>Tiendas</t>
  </si>
  <si>
    <t>Reunir grupo, verificar que estamos completos y continuar</t>
  </si>
  <si>
    <t>Historia, contexto, mito fundacional</t>
  </si>
  <si>
    <t>historia, arte, desarrollo economico  de la región</t>
  </si>
  <si>
    <t>Visita a las escultura, vista exterior del palacio de la cultura</t>
  </si>
  <si>
    <t xml:space="preserve">Bajar por un costado llegando por la oriental. Plazoleta, esculturas de Botero, la paloma de la paz destrozada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</si>
</sst>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F400]h:mm:ss\ AM/PM"/>
    <numFmt numFmtId="167" formatCode="h:mm:ss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166" fontId="0" fillId="0" borderId="0" xfId="0" applyNumberFormat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4" fillId="2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4" fillId="3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4" fillId="3" borderId="5" xfId="0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0" fillId="0" borderId="5" xfId="0" applyBorder="1"/>
    <xf numFmtId="0" fontId="0" fillId="0" borderId="7" xfId="0" applyBorder="1"/>
    <xf numFmtId="0" fontId="0" fillId="0" borderId="0" xfId="0" applyBorder="1"/>
    <xf numFmtId="0" fontId="1" fillId="0" borderId="1" xfId="0" applyFont="1" applyBorder="1"/>
    <xf numFmtId="0" fontId="1" fillId="4" borderId="1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3" borderId="1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5" borderId="1" xfId="0" applyFill="1" applyBorder="1"/>
    <xf numFmtId="0" fontId="5" fillId="5" borderId="1" xfId="0" applyFont="1" applyFill="1" applyBorder="1" applyAlignment="1">
      <alignment wrapText="1"/>
    </xf>
    <xf numFmtId="0" fontId="5" fillId="5" borderId="14" xfId="0" applyFont="1" applyFill="1" applyBorder="1" applyAlignment="1">
      <alignment wrapText="1"/>
    </xf>
    <xf numFmtId="0" fontId="0" fillId="5" borderId="0" xfId="0" applyFill="1"/>
    <xf numFmtId="0" fontId="5" fillId="5" borderId="15" xfId="0" applyFont="1" applyFill="1" applyBorder="1" applyAlignment="1">
      <alignment wrapText="1"/>
    </xf>
    <xf numFmtId="0" fontId="5" fillId="0" borderId="16" xfId="0" applyFont="1" applyFill="1" applyBorder="1" applyAlignment="1">
      <alignment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6149E-2B47-470B-BC05-1526C1459F4A}">
  <dimension ref="A1:R62"/>
  <sheetViews>
    <sheetView tabSelected="1" workbookViewId="0">
      <selection sqref="A1:G2"/>
    </sheetView>
  </sheetViews>
  <sheetFormatPr baseColWidth="10" defaultRowHeight="15" x14ac:dyDescent="0.25"/>
  <cols>
    <col min="1" max="1" width="19.5703125" customWidth="1"/>
    <col min="3" max="3" width="15.28515625" customWidth="1"/>
    <col min="4" max="4" width="12.85546875" customWidth="1"/>
    <col min="5" max="5" width="12.7109375" customWidth="1"/>
    <col min="8" max="8" width="21" customWidth="1"/>
    <col min="9" max="9" width="17" customWidth="1"/>
    <col min="10" max="12" width="13" customWidth="1"/>
    <col min="13" max="13" width="12.85546875" customWidth="1"/>
  </cols>
  <sheetData>
    <row r="1" spans="1:18" x14ac:dyDescent="0.25">
      <c r="A1" s="17" t="s">
        <v>12</v>
      </c>
      <c r="B1" s="18"/>
      <c r="C1" s="18"/>
      <c r="D1" s="18"/>
      <c r="E1" s="18"/>
      <c r="F1" s="18"/>
      <c r="G1" s="18"/>
      <c r="H1" s="6"/>
      <c r="I1" s="31"/>
    </row>
    <row r="2" spans="1:18" x14ac:dyDescent="0.25">
      <c r="A2" s="19" t="s">
        <v>13</v>
      </c>
      <c r="B2" s="20"/>
      <c r="C2" s="20"/>
      <c r="D2" s="20"/>
      <c r="E2" s="20"/>
      <c r="F2" s="20"/>
      <c r="G2" s="20"/>
      <c r="H2" s="7"/>
      <c r="I2" s="31"/>
    </row>
    <row r="3" spans="1:18" x14ac:dyDescent="0.25">
      <c r="A3" s="8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7"/>
      <c r="I3" s="31"/>
    </row>
    <row r="4" spans="1:18" x14ac:dyDescent="0.25">
      <c r="A4" s="8"/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14</v>
      </c>
      <c r="H4" s="7"/>
      <c r="I4" s="31"/>
    </row>
    <row r="5" spans="1:18" ht="45" x14ac:dyDescent="0.25">
      <c r="A5" s="15"/>
      <c r="B5" s="16" t="s">
        <v>16</v>
      </c>
      <c r="C5" s="16" t="s">
        <v>15</v>
      </c>
      <c r="D5" s="16" t="s">
        <v>17</v>
      </c>
      <c r="E5" s="16" t="s">
        <v>18</v>
      </c>
      <c r="F5" s="16" t="s">
        <v>19</v>
      </c>
      <c r="G5" s="16" t="s">
        <v>16</v>
      </c>
      <c r="H5" s="7" t="s">
        <v>91</v>
      </c>
      <c r="I5" s="31"/>
      <c r="J5" s="2"/>
      <c r="K5" s="38" t="s">
        <v>97</v>
      </c>
      <c r="L5" s="38" t="s">
        <v>101</v>
      </c>
      <c r="M5" s="16" t="s">
        <v>92</v>
      </c>
      <c r="N5" s="27" t="s">
        <v>93</v>
      </c>
      <c r="O5" s="28" t="s">
        <v>94</v>
      </c>
      <c r="P5" s="28" t="s">
        <v>95</v>
      </c>
      <c r="Q5" s="28" t="s">
        <v>96</v>
      </c>
      <c r="R5" s="26"/>
    </row>
    <row r="6" spans="1:18" x14ac:dyDescent="0.25">
      <c r="A6" s="9" t="s">
        <v>0</v>
      </c>
      <c r="B6" s="21"/>
      <c r="C6" s="21"/>
      <c r="D6" s="21"/>
      <c r="E6" s="21"/>
      <c r="F6" s="21"/>
      <c r="G6" s="21"/>
      <c r="H6" s="22"/>
      <c r="I6" s="25"/>
      <c r="J6" s="39" t="s">
        <v>16</v>
      </c>
      <c r="K6" s="2" t="s">
        <v>98</v>
      </c>
      <c r="L6" s="37">
        <v>26</v>
      </c>
      <c r="M6" s="2">
        <v>26</v>
      </c>
      <c r="N6" s="2">
        <v>52</v>
      </c>
      <c r="O6" s="2">
        <v>8</v>
      </c>
      <c r="P6" s="2">
        <v>8</v>
      </c>
      <c r="Q6" s="2">
        <v>0</v>
      </c>
    </row>
    <row r="7" spans="1:18" ht="26.25" x14ac:dyDescent="0.25">
      <c r="A7" s="10">
        <v>0.29166666666666669</v>
      </c>
      <c r="B7" s="21"/>
      <c r="C7" s="21" t="s">
        <v>26</v>
      </c>
      <c r="D7" s="21"/>
      <c r="E7" s="21"/>
      <c r="F7" s="21"/>
      <c r="G7" s="21"/>
      <c r="H7" s="22" t="s">
        <v>28</v>
      </c>
      <c r="I7" s="25"/>
      <c r="J7" s="39"/>
      <c r="K7" s="2" t="s">
        <v>99</v>
      </c>
      <c r="L7" s="37">
        <v>26</v>
      </c>
      <c r="M7" s="2">
        <v>26</v>
      </c>
      <c r="N7" s="2">
        <v>52</v>
      </c>
      <c r="O7" s="2">
        <v>8</v>
      </c>
      <c r="P7" s="2">
        <v>8</v>
      </c>
      <c r="Q7" s="2">
        <v>0</v>
      </c>
    </row>
    <row r="8" spans="1:18" x14ac:dyDescent="0.25">
      <c r="A8" s="10">
        <v>0.3125</v>
      </c>
      <c r="B8" s="21"/>
      <c r="C8" s="21" t="s">
        <v>29</v>
      </c>
      <c r="D8" s="21"/>
      <c r="E8" s="21"/>
      <c r="F8" s="21"/>
      <c r="G8" s="21"/>
      <c r="H8" s="22"/>
      <c r="I8" s="25"/>
      <c r="J8" s="39"/>
      <c r="K8" s="2" t="s">
        <v>100</v>
      </c>
      <c r="L8" s="37">
        <v>26</v>
      </c>
      <c r="M8" s="2">
        <v>26</v>
      </c>
      <c r="N8" s="2">
        <v>52</v>
      </c>
      <c r="O8" s="2">
        <v>8</v>
      </c>
      <c r="P8" s="2">
        <v>8</v>
      </c>
      <c r="Q8" s="2">
        <v>0</v>
      </c>
    </row>
    <row r="9" spans="1:18" ht="26.25" x14ac:dyDescent="0.25">
      <c r="A9" s="10">
        <v>0.32291666666666669</v>
      </c>
      <c r="B9" s="21"/>
      <c r="C9" s="21"/>
      <c r="D9" s="21" t="s">
        <v>42</v>
      </c>
      <c r="E9" s="21"/>
      <c r="F9" s="21"/>
      <c r="G9" s="21"/>
      <c r="H9" s="22" t="s">
        <v>43</v>
      </c>
      <c r="I9" s="25"/>
      <c r="J9" s="2"/>
      <c r="K9" s="2"/>
      <c r="L9" s="2"/>
      <c r="M9" s="2"/>
      <c r="N9" s="2"/>
      <c r="O9" s="2"/>
      <c r="P9" s="2"/>
      <c r="Q9" s="2"/>
    </row>
    <row r="10" spans="1:18" ht="26.25" x14ac:dyDescent="0.25">
      <c r="A10" s="10">
        <v>0.33333333333333298</v>
      </c>
      <c r="B10" s="21"/>
      <c r="C10" s="21" t="s">
        <v>29</v>
      </c>
      <c r="D10" s="21" t="s">
        <v>44</v>
      </c>
      <c r="E10" s="21" t="s">
        <v>42</v>
      </c>
      <c r="F10" s="21"/>
      <c r="G10" s="21"/>
      <c r="H10" s="22" t="s">
        <v>28</v>
      </c>
      <c r="I10" s="25"/>
      <c r="J10" s="32" t="s">
        <v>15</v>
      </c>
      <c r="K10" s="2" t="s">
        <v>98</v>
      </c>
      <c r="L10" s="37">
        <v>37</v>
      </c>
      <c r="M10" s="2">
        <v>111</v>
      </c>
      <c r="N10" s="2">
        <v>111</v>
      </c>
      <c r="O10" s="2">
        <v>8</v>
      </c>
      <c r="P10" s="2">
        <v>8</v>
      </c>
      <c r="Q10" s="2">
        <v>36</v>
      </c>
    </row>
    <row r="11" spans="1:18" ht="26.25" x14ac:dyDescent="0.25">
      <c r="A11" s="10">
        <v>0.34375</v>
      </c>
      <c r="B11" s="21"/>
      <c r="C11" s="21"/>
      <c r="D11" s="21" t="s">
        <v>45</v>
      </c>
      <c r="E11" s="21" t="s">
        <v>40</v>
      </c>
      <c r="F11" s="21"/>
      <c r="G11" s="21"/>
      <c r="H11" s="22" t="s">
        <v>64</v>
      </c>
      <c r="I11" s="25"/>
      <c r="J11" s="2"/>
      <c r="K11" s="2" t="s">
        <v>99</v>
      </c>
      <c r="L11" s="37">
        <v>37</v>
      </c>
      <c r="M11" s="2">
        <v>111</v>
      </c>
      <c r="N11" s="2">
        <v>111</v>
      </c>
      <c r="O11" s="2">
        <v>8</v>
      </c>
      <c r="P11" s="2">
        <v>8</v>
      </c>
      <c r="Q11" s="2">
        <v>36</v>
      </c>
    </row>
    <row r="12" spans="1:18" ht="26.25" x14ac:dyDescent="0.25">
      <c r="A12" s="10">
        <v>0.35416666666666669</v>
      </c>
      <c r="B12" s="21"/>
      <c r="C12" s="21" t="s">
        <v>30</v>
      </c>
      <c r="D12" s="21" t="s">
        <v>46</v>
      </c>
      <c r="E12" s="21" t="s">
        <v>66</v>
      </c>
      <c r="F12" s="21"/>
      <c r="G12" s="21"/>
      <c r="H12" s="22"/>
      <c r="I12" s="25"/>
      <c r="J12" s="2"/>
      <c r="K12" s="2" t="s">
        <v>102</v>
      </c>
      <c r="L12" s="37">
        <v>10</v>
      </c>
      <c r="M12" s="2">
        <v>30</v>
      </c>
      <c r="N12" s="2">
        <v>40</v>
      </c>
      <c r="O12" s="2">
        <v>5</v>
      </c>
      <c r="P12" s="2">
        <v>5</v>
      </c>
      <c r="Q12" s="2">
        <v>10</v>
      </c>
    </row>
    <row r="13" spans="1:18" ht="26.25" x14ac:dyDescent="0.25">
      <c r="A13" s="10">
        <v>0.3611111111111111</v>
      </c>
      <c r="B13" s="21"/>
      <c r="C13" s="25"/>
      <c r="D13" s="21" t="s">
        <v>47</v>
      </c>
      <c r="E13" s="21" t="s">
        <v>71</v>
      </c>
      <c r="F13" s="21"/>
      <c r="G13" s="21"/>
      <c r="H13" s="22"/>
      <c r="I13" s="25"/>
      <c r="J13" s="2"/>
      <c r="K13" s="2"/>
      <c r="L13" s="2"/>
      <c r="M13" s="2"/>
      <c r="N13" s="2"/>
      <c r="O13" s="2"/>
      <c r="P13" s="2"/>
      <c r="Q13" s="2"/>
    </row>
    <row r="14" spans="1:18" x14ac:dyDescent="0.25">
      <c r="A14" s="10">
        <v>0.36458333333333331</v>
      </c>
      <c r="B14" s="21"/>
      <c r="C14" s="25"/>
      <c r="D14" s="21"/>
      <c r="E14" s="21"/>
      <c r="F14" s="21"/>
      <c r="G14" s="21"/>
      <c r="H14" s="22"/>
      <c r="I14" s="25"/>
      <c r="J14" s="2"/>
      <c r="K14" s="2"/>
      <c r="L14" s="2"/>
      <c r="M14" s="2"/>
      <c r="N14" s="2"/>
      <c r="O14" s="2"/>
      <c r="P14" s="2"/>
      <c r="Q14" s="2"/>
    </row>
    <row r="15" spans="1:18" ht="26.25" x14ac:dyDescent="0.25">
      <c r="A15" s="10">
        <v>0.375</v>
      </c>
      <c r="B15" s="21"/>
      <c r="D15" s="21" t="s">
        <v>48</v>
      </c>
      <c r="E15" s="21" t="s">
        <v>41</v>
      </c>
      <c r="F15" s="21"/>
      <c r="G15" s="21"/>
      <c r="H15" s="22" t="s">
        <v>65</v>
      </c>
      <c r="I15" s="25"/>
      <c r="J15" s="32" t="s">
        <v>103</v>
      </c>
      <c r="K15" s="2" t="s">
        <v>98</v>
      </c>
      <c r="L15" s="37">
        <v>37</v>
      </c>
      <c r="M15" s="2">
        <v>70</v>
      </c>
      <c r="N15" s="2">
        <v>70</v>
      </c>
      <c r="O15" s="2">
        <v>8</v>
      </c>
      <c r="P15" s="2">
        <v>8</v>
      </c>
      <c r="Q15" s="2">
        <v>18</v>
      </c>
    </row>
    <row r="16" spans="1:18" ht="39" x14ac:dyDescent="0.25">
      <c r="A16" s="10">
        <v>0.38194444444444442</v>
      </c>
      <c r="B16" s="21"/>
      <c r="D16" s="21" t="s">
        <v>49</v>
      </c>
      <c r="E16" s="21" t="s">
        <v>67</v>
      </c>
      <c r="F16" s="21"/>
      <c r="G16" s="21"/>
      <c r="H16" s="22"/>
      <c r="I16" s="25"/>
      <c r="J16" s="2"/>
      <c r="K16" s="2" t="s">
        <v>99</v>
      </c>
      <c r="L16" s="37">
        <v>37</v>
      </c>
      <c r="M16" s="2">
        <v>70</v>
      </c>
      <c r="N16" s="2">
        <v>70</v>
      </c>
      <c r="O16" s="2">
        <v>8</v>
      </c>
      <c r="P16" s="2">
        <v>8</v>
      </c>
      <c r="Q16" s="2">
        <v>18</v>
      </c>
    </row>
    <row r="17" spans="1:17" ht="39" x14ac:dyDescent="0.25">
      <c r="A17" s="10">
        <v>0.39583333333333331</v>
      </c>
      <c r="B17" s="21"/>
      <c r="C17" s="21" t="s">
        <v>21</v>
      </c>
      <c r="D17" s="21" t="s">
        <v>50</v>
      </c>
      <c r="E17" s="21" t="s">
        <v>68</v>
      </c>
      <c r="F17" s="21"/>
      <c r="G17" s="21"/>
      <c r="H17" s="22"/>
      <c r="I17" s="25"/>
      <c r="J17" s="2"/>
      <c r="K17" s="2" t="s">
        <v>102</v>
      </c>
      <c r="L17" s="37">
        <v>10</v>
      </c>
      <c r="M17" s="2">
        <v>20</v>
      </c>
      <c r="N17" s="2">
        <v>30</v>
      </c>
      <c r="O17" s="2">
        <v>5</v>
      </c>
      <c r="P17" s="2">
        <v>5</v>
      </c>
      <c r="Q17" s="2">
        <v>10</v>
      </c>
    </row>
    <row r="18" spans="1:17" ht="26.25" x14ac:dyDescent="0.25">
      <c r="A18" s="10">
        <v>0.40277777777777779</v>
      </c>
      <c r="B18" s="21"/>
      <c r="C18" s="21"/>
      <c r="D18" s="21" t="s">
        <v>55</v>
      </c>
      <c r="E18" s="21" t="s">
        <v>69</v>
      </c>
      <c r="F18" s="21"/>
      <c r="G18" s="21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10">
        <v>0.40972222222222221</v>
      </c>
      <c r="B19" s="21"/>
      <c r="C19" s="21"/>
      <c r="D19" s="21"/>
      <c r="E19" s="21"/>
      <c r="F19" s="21"/>
      <c r="G19" s="21"/>
      <c r="H19" s="22"/>
      <c r="I19" s="25"/>
      <c r="J19" s="2"/>
      <c r="K19" s="2"/>
      <c r="L19" s="2"/>
      <c r="M19" s="2"/>
      <c r="N19" s="2"/>
      <c r="O19" s="2"/>
      <c r="P19" s="2"/>
      <c r="Q19" s="2"/>
    </row>
    <row r="20" spans="1:17" ht="26.25" x14ac:dyDescent="0.25">
      <c r="A20" s="10">
        <v>0.41666666666666702</v>
      </c>
      <c r="B20" s="21"/>
      <c r="C20" s="21" t="s">
        <v>31</v>
      </c>
      <c r="D20" s="21" t="s">
        <v>51</v>
      </c>
      <c r="E20" s="21" t="s">
        <v>72</v>
      </c>
      <c r="F20" s="21"/>
      <c r="G20" s="21"/>
      <c r="H20" s="22"/>
      <c r="I20" s="25"/>
      <c r="J20" s="32" t="s">
        <v>18</v>
      </c>
      <c r="K20" s="2" t="s">
        <v>98</v>
      </c>
      <c r="L20" s="37">
        <v>37</v>
      </c>
      <c r="M20" s="2">
        <v>111</v>
      </c>
      <c r="N20" s="2">
        <v>111</v>
      </c>
      <c r="O20" s="2">
        <v>8</v>
      </c>
      <c r="P20" s="2">
        <v>8</v>
      </c>
      <c r="Q20" s="2">
        <v>36</v>
      </c>
    </row>
    <row r="21" spans="1:17" ht="26.25" x14ac:dyDescent="0.25">
      <c r="A21" s="10">
        <v>0.43055555555555558</v>
      </c>
      <c r="B21" s="21"/>
      <c r="C21" s="21" t="s">
        <v>21</v>
      </c>
      <c r="D21" s="21" t="s">
        <v>52</v>
      </c>
      <c r="E21" s="21" t="s">
        <v>73</v>
      </c>
      <c r="F21" s="21"/>
      <c r="G21" s="21"/>
      <c r="H21" s="22" t="s">
        <v>70</v>
      </c>
      <c r="I21" s="25"/>
      <c r="J21" s="2"/>
      <c r="K21" s="2" t="s">
        <v>99</v>
      </c>
      <c r="L21" s="37">
        <v>37</v>
      </c>
      <c r="M21" s="2">
        <v>111</v>
      </c>
      <c r="N21" s="2">
        <v>111</v>
      </c>
      <c r="O21" s="2">
        <v>8</v>
      </c>
      <c r="P21" s="2">
        <v>8</v>
      </c>
      <c r="Q21" s="2">
        <v>36</v>
      </c>
    </row>
    <row r="22" spans="1:17" ht="26.25" x14ac:dyDescent="0.25">
      <c r="A22" s="10">
        <v>0.44444444444444442</v>
      </c>
      <c r="B22" s="21"/>
      <c r="C22" s="21"/>
      <c r="D22" s="21"/>
      <c r="E22" s="21" t="s">
        <v>74</v>
      </c>
      <c r="F22" s="21"/>
      <c r="G22" s="21"/>
      <c r="H22" s="22" t="s">
        <v>78</v>
      </c>
      <c r="I22" s="25"/>
      <c r="J22" s="2"/>
      <c r="K22" s="2" t="s">
        <v>102</v>
      </c>
      <c r="L22" s="37">
        <v>10</v>
      </c>
      <c r="M22" s="2">
        <v>30</v>
      </c>
      <c r="N22" s="2">
        <v>40</v>
      </c>
      <c r="O22" s="2">
        <v>5</v>
      </c>
      <c r="P22" s="2">
        <v>5</v>
      </c>
      <c r="Q22" s="2">
        <v>10</v>
      </c>
    </row>
    <row r="23" spans="1:17" ht="26.25" x14ac:dyDescent="0.25">
      <c r="A23" s="10">
        <v>0.45833333333333298</v>
      </c>
      <c r="B23" s="21"/>
      <c r="C23" s="21" t="s">
        <v>32</v>
      </c>
      <c r="D23" s="21" t="s">
        <v>53</v>
      </c>
      <c r="E23" s="21"/>
      <c r="F23" s="21"/>
      <c r="G23" s="21"/>
      <c r="H23" s="22" t="s">
        <v>35</v>
      </c>
      <c r="I23" s="25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10">
        <v>0.47916666666666669</v>
      </c>
      <c r="B24" s="21"/>
      <c r="C24" s="21"/>
      <c r="D24" s="21" t="s">
        <v>58</v>
      </c>
      <c r="E24" s="21"/>
      <c r="F24" s="21"/>
      <c r="G24" s="21"/>
      <c r="H24" s="22"/>
      <c r="I24" s="25"/>
      <c r="J24" s="2"/>
      <c r="K24" s="2"/>
      <c r="L24" s="2"/>
      <c r="M24" s="2"/>
      <c r="N24" s="2"/>
      <c r="O24" s="2"/>
      <c r="P24" s="2"/>
      <c r="Q24" s="2"/>
    </row>
    <row r="25" spans="1:17" ht="51.75" x14ac:dyDescent="0.25">
      <c r="A25" s="10">
        <v>0.48958333333333331</v>
      </c>
      <c r="B25" s="21"/>
      <c r="C25" s="21"/>
      <c r="D25" s="21"/>
      <c r="E25" s="21" t="s">
        <v>75</v>
      </c>
      <c r="F25" s="21"/>
      <c r="G25" s="21"/>
      <c r="H25" s="22"/>
      <c r="I25" s="25"/>
      <c r="J25" s="2" t="s">
        <v>104</v>
      </c>
      <c r="K25" s="2"/>
      <c r="L25" s="2"/>
      <c r="M25" s="2">
        <v>70</v>
      </c>
      <c r="N25" s="2">
        <v>70</v>
      </c>
      <c r="O25" s="2">
        <v>8</v>
      </c>
      <c r="P25" s="2">
        <v>8</v>
      </c>
      <c r="Q25" s="2">
        <v>36</v>
      </c>
    </row>
    <row r="26" spans="1:17" ht="40.5" customHeight="1" x14ac:dyDescent="0.25">
      <c r="A26" s="10">
        <v>0.5</v>
      </c>
      <c r="B26" s="21"/>
      <c r="C26" s="21" t="s">
        <v>21</v>
      </c>
      <c r="D26" s="21" t="s">
        <v>56</v>
      </c>
      <c r="E26" s="21" t="s">
        <v>76</v>
      </c>
      <c r="F26" s="21"/>
      <c r="G26" s="21"/>
      <c r="H26" s="22" t="s">
        <v>57</v>
      </c>
      <c r="I26" s="25"/>
      <c r="J26" s="2"/>
      <c r="K26" s="2"/>
      <c r="L26" s="2"/>
      <c r="M26" s="2">
        <v>70</v>
      </c>
      <c r="N26" s="2">
        <v>70</v>
      </c>
      <c r="O26" s="2">
        <v>8</v>
      </c>
      <c r="P26" s="2">
        <v>8</v>
      </c>
      <c r="Q26" s="2">
        <v>36</v>
      </c>
    </row>
    <row r="27" spans="1:17" ht="40.5" customHeight="1" x14ac:dyDescent="0.25">
      <c r="A27" s="10">
        <v>0.51388888888888884</v>
      </c>
      <c r="B27" s="21"/>
      <c r="C27" s="21"/>
      <c r="D27" s="21"/>
      <c r="E27" s="21" t="s">
        <v>79</v>
      </c>
      <c r="F27" s="21"/>
      <c r="G27" s="21"/>
      <c r="H27" s="22"/>
      <c r="I27" s="25"/>
      <c r="J27" s="2"/>
      <c r="K27" s="2"/>
      <c r="L27" s="2"/>
      <c r="M27" s="2">
        <v>20</v>
      </c>
      <c r="N27" s="2">
        <v>30</v>
      </c>
      <c r="O27" s="2">
        <v>5</v>
      </c>
      <c r="P27" s="2">
        <v>5</v>
      </c>
      <c r="Q27" s="2">
        <v>10</v>
      </c>
    </row>
    <row r="28" spans="1:17" ht="39" x14ac:dyDescent="0.25">
      <c r="A28" s="10">
        <v>0.52083333333333337</v>
      </c>
      <c r="B28" s="21"/>
      <c r="C28" s="21" t="s">
        <v>33</v>
      </c>
      <c r="D28" s="21"/>
      <c r="E28" s="21" t="s">
        <v>80</v>
      </c>
      <c r="F28" s="21" t="s">
        <v>86</v>
      </c>
      <c r="G28" s="21"/>
      <c r="H28" s="22" t="s">
        <v>34</v>
      </c>
      <c r="I28" s="25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10">
        <v>0.53125</v>
      </c>
      <c r="B29" s="21"/>
      <c r="C29" s="21"/>
      <c r="D29" s="21"/>
      <c r="E29" s="21"/>
      <c r="F29" s="21"/>
      <c r="G29" s="21"/>
      <c r="H29" s="22"/>
      <c r="I29" s="25"/>
      <c r="J29" s="2" t="s">
        <v>105</v>
      </c>
      <c r="K29" s="2"/>
      <c r="L29" s="2"/>
      <c r="M29" s="33">
        <f>SUM(M6:M28)</f>
        <v>902</v>
      </c>
      <c r="N29" s="33">
        <f>SUM(N6:N28)</f>
        <v>1020</v>
      </c>
      <c r="O29" s="33">
        <f>SUM(O6:O28)</f>
        <v>108</v>
      </c>
      <c r="P29" s="33">
        <f>SUM(P6:P28)</f>
        <v>108</v>
      </c>
      <c r="Q29" s="33">
        <f>SUM(Q6:Q28)</f>
        <v>292</v>
      </c>
    </row>
    <row r="30" spans="1:17" ht="39" x14ac:dyDescent="0.25">
      <c r="A30" s="11">
        <v>0.54166666666666663</v>
      </c>
      <c r="B30" s="21"/>
      <c r="C30" s="21"/>
      <c r="D30" s="21"/>
      <c r="E30" s="21" t="s">
        <v>81</v>
      </c>
      <c r="F30" s="21" t="s">
        <v>87</v>
      </c>
      <c r="G30" s="21"/>
      <c r="H30" s="22" t="s">
        <v>82</v>
      </c>
      <c r="I30" s="25"/>
      <c r="J30" s="2"/>
      <c r="K30" s="2"/>
      <c r="L30" s="2"/>
      <c r="M30" s="2"/>
      <c r="N30" s="2"/>
      <c r="O30" s="2"/>
      <c r="P30" s="2"/>
      <c r="Q30" s="2"/>
    </row>
    <row r="31" spans="1:17" ht="39" x14ac:dyDescent="0.25">
      <c r="A31" s="11">
        <v>0.55208333333333337</v>
      </c>
      <c r="B31" s="21"/>
      <c r="D31" s="21" t="s">
        <v>54</v>
      </c>
      <c r="E31" s="21" t="s">
        <v>83</v>
      </c>
      <c r="F31" s="21"/>
      <c r="G31" s="21"/>
      <c r="H31" s="22" t="s">
        <v>59</v>
      </c>
      <c r="I31" s="25"/>
      <c r="J31" s="2" t="s">
        <v>106</v>
      </c>
      <c r="K31" s="2"/>
      <c r="L31" s="2"/>
      <c r="M31" s="2">
        <v>28</v>
      </c>
      <c r="N31" s="2">
        <v>43</v>
      </c>
      <c r="O31" s="2"/>
      <c r="P31" s="2"/>
      <c r="Q31" s="2"/>
    </row>
    <row r="32" spans="1:17" ht="26.25" x14ac:dyDescent="0.25">
      <c r="A32" s="11">
        <v>0.5625</v>
      </c>
      <c r="B32" s="21"/>
      <c r="C32" s="21" t="s">
        <v>36</v>
      </c>
      <c r="D32" s="21"/>
      <c r="E32" s="21" t="s">
        <v>84</v>
      </c>
      <c r="F32" s="21"/>
      <c r="G32" s="21"/>
      <c r="H32" s="22" t="s">
        <v>57</v>
      </c>
      <c r="I32" s="25"/>
      <c r="J32" s="2" t="s">
        <v>107</v>
      </c>
      <c r="K32" s="2"/>
      <c r="L32" s="2"/>
      <c r="M32" s="2"/>
      <c r="N32" s="2"/>
      <c r="O32" s="2">
        <v>9</v>
      </c>
      <c r="P32" s="2">
        <v>9</v>
      </c>
      <c r="Q32" s="2">
        <v>26</v>
      </c>
    </row>
    <row r="33" spans="1:17" x14ac:dyDescent="0.25">
      <c r="A33" s="11">
        <v>0.65625</v>
      </c>
      <c r="B33" s="21"/>
      <c r="C33" s="21"/>
      <c r="D33" s="21" t="s">
        <v>60</v>
      </c>
      <c r="E33" s="21"/>
      <c r="F33" s="21"/>
      <c r="G33" s="21"/>
      <c r="H33" s="22"/>
      <c r="I33" s="25"/>
      <c r="J33" s="2"/>
      <c r="K33" s="2"/>
      <c r="L33" s="2"/>
      <c r="M33" s="2"/>
      <c r="N33" s="2"/>
      <c r="O33" s="2"/>
      <c r="P33" s="2"/>
      <c r="Q33" s="2"/>
    </row>
    <row r="34" spans="1:17" ht="26.25" x14ac:dyDescent="0.25">
      <c r="A34" s="11">
        <v>0.58333333333333304</v>
      </c>
      <c r="B34" s="21"/>
      <c r="C34" s="21" t="s">
        <v>37</v>
      </c>
      <c r="D34" s="21"/>
      <c r="E34" s="21"/>
      <c r="F34" s="21"/>
      <c r="G34" s="21"/>
      <c r="H34" s="22" t="s">
        <v>38</v>
      </c>
      <c r="I34" s="25"/>
      <c r="J34" s="2"/>
      <c r="K34" s="2"/>
      <c r="L34" s="2"/>
      <c r="M34" s="2"/>
      <c r="N34" s="2"/>
      <c r="O34" s="2"/>
      <c r="P34" s="2"/>
      <c r="Q34" s="2"/>
    </row>
    <row r="35" spans="1:17" ht="30" x14ac:dyDescent="0.25">
      <c r="A35" s="11">
        <v>0.60416666666666663</v>
      </c>
      <c r="B35" s="21"/>
      <c r="C35" s="21"/>
      <c r="D35" s="21" t="s">
        <v>54</v>
      </c>
      <c r="E35" s="21"/>
      <c r="F35" s="21"/>
      <c r="G35" s="21"/>
      <c r="H35" s="22"/>
      <c r="I35" s="25"/>
      <c r="J35" s="26" t="s">
        <v>108</v>
      </c>
      <c r="M35" s="34"/>
      <c r="N35" s="35"/>
      <c r="O35" s="35"/>
      <c r="P35" s="35"/>
      <c r="Q35" s="36"/>
    </row>
    <row r="36" spans="1:17" ht="26.25" x14ac:dyDescent="0.25">
      <c r="A36" s="11">
        <v>0.61458333333333337</v>
      </c>
      <c r="B36" s="21"/>
      <c r="C36" s="21"/>
      <c r="D36" s="21" t="s">
        <v>61</v>
      </c>
      <c r="E36" s="21"/>
      <c r="F36" s="21"/>
      <c r="G36" s="21"/>
      <c r="H36" s="22"/>
      <c r="I36" s="25"/>
      <c r="M36" s="29"/>
      <c r="N36" s="2"/>
      <c r="O36" s="2"/>
      <c r="P36" s="2"/>
      <c r="Q36" s="7"/>
    </row>
    <row r="37" spans="1:17" ht="26.25" x14ac:dyDescent="0.25">
      <c r="A37" s="11">
        <v>0.625</v>
      </c>
      <c r="B37" s="21"/>
      <c r="C37" s="21"/>
      <c r="D37" s="21"/>
      <c r="E37" s="21" t="s">
        <v>88</v>
      </c>
      <c r="F37" s="21" t="s">
        <v>88</v>
      </c>
      <c r="G37" s="21"/>
      <c r="H37" s="22"/>
      <c r="I37" s="25"/>
      <c r="M37" s="29"/>
      <c r="N37" s="2"/>
      <c r="O37" s="2"/>
      <c r="P37" s="2"/>
      <c r="Q37" s="7"/>
    </row>
    <row r="38" spans="1:17" x14ac:dyDescent="0.25">
      <c r="A38" s="11">
        <v>0.63541666666666663</v>
      </c>
      <c r="B38" s="21"/>
      <c r="C38" s="21"/>
      <c r="D38" s="21"/>
      <c r="E38" s="21"/>
      <c r="F38" s="21"/>
      <c r="G38" s="21"/>
      <c r="H38" s="22"/>
      <c r="I38" s="25"/>
      <c r="M38" s="29"/>
      <c r="N38" s="2"/>
      <c r="O38" s="2"/>
      <c r="P38" s="2"/>
      <c r="Q38" s="7"/>
    </row>
    <row r="39" spans="1:17" ht="26.25" x14ac:dyDescent="0.25">
      <c r="A39" s="11">
        <v>0.64583333333333337</v>
      </c>
      <c r="B39" s="21"/>
      <c r="C39" s="21"/>
      <c r="D39" s="21"/>
      <c r="E39" s="21" t="s">
        <v>85</v>
      </c>
      <c r="F39" s="21" t="s">
        <v>89</v>
      </c>
      <c r="G39" s="21"/>
      <c r="H39" s="22"/>
      <c r="I39" s="25"/>
      <c r="M39" s="29"/>
      <c r="N39" s="2"/>
      <c r="O39" s="2"/>
      <c r="P39" s="2"/>
      <c r="Q39" s="7"/>
    </row>
    <row r="40" spans="1:17" ht="26.25" x14ac:dyDescent="0.25">
      <c r="A40" s="11">
        <v>0.66666666666666696</v>
      </c>
      <c r="B40" s="21"/>
      <c r="C40" s="21" t="s">
        <v>21</v>
      </c>
      <c r="D40" s="21"/>
      <c r="E40" s="21" t="s">
        <v>24</v>
      </c>
      <c r="F40" s="21"/>
      <c r="G40" s="21"/>
      <c r="H40" s="22"/>
      <c r="I40" s="25"/>
      <c r="M40" s="29"/>
      <c r="N40" s="2"/>
      <c r="O40" s="2"/>
      <c r="P40" s="2"/>
      <c r="Q40" s="7"/>
    </row>
    <row r="41" spans="1:17" x14ac:dyDescent="0.25">
      <c r="A41" s="11">
        <v>0.6875</v>
      </c>
      <c r="B41" s="21"/>
      <c r="C41" s="21" t="s">
        <v>39</v>
      </c>
      <c r="D41" s="21"/>
      <c r="E41" s="21"/>
      <c r="F41" s="21"/>
      <c r="G41" s="21"/>
      <c r="H41" s="22"/>
      <c r="I41" s="25"/>
      <c r="M41" s="29"/>
      <c r="N41" s="2"/>
      <c r="O41" s="2"/>
      <c r="P41" s="2"/>
      <c r="Q41" s="7"/>
    </row>
    <row r="42" spans="1:17" x14ac:dyDescent="0.25">
      <c r="A42" s="11" t="s">
        <v>62</v>
      </c>
      <c r="B42" s="21"/>
      <c r="C42" s="21"/>
      <c r="D42" s="21" t="s">
        <v>21</v>
      </c>
      <c r="E42" s="21"/>
      <c r="F42" s="21"/>
      <c r="G42" s="21"/>
      <c r="H42" s="22"/>
      <c r="I42" s="25"/>
      <c r="M42" s="29"/>
      <c r="N42" s="2"/>
      <c r="O42" s="2"/>
      <c r="P42" s="2"/>
      <c r="Q42" s="7"/>
    </row>
    <row r="43" spans="1:17" ht="26.25" x14ac:dyDescent="0.25">
      <c r="A43" s="11">
        <v>0.70833333333333304</v>
      </c>
      <c r="B43" s="21" t="s">
        <v>20</v>
      </c>
      <c r="C43" s="21"/>
      <c r="D43" s="21"/>
      <c r="E43" s="21"/>
      <c r="F43" s="21"/>
      <c r="G43" s="21"/>
      <c r="H43" s="22" t="s">
        <v>27</v>
      </c>
      <c r="I43" s="25"/>
      <c r="M43" s="29"/>
      <c r="N43" s="2"/>
      <c r="O43" s="2"/>
      <c r="P43" s="2"/>
      <c r="Q43" s="7"/>
    </row>
    <row r="44" spans="1:17" ht="26.25" x14ac:dyDescent="0.25">
      <c r="A44" s="11">
        <v>0.73611111111111116</v>
      </c>
      <c r="B44" s="21" t="s">
        <v>21</v>
      </c>
      <c r="C44" s="21" t="s">
        <v>23</v>
      </c>
      <c r="D44" s="21" t="s">
        <v>63</v>
      </c>
      <c r="E44" s="21"/>
      <c r="F44" s="21" t="s">
        <v>90</v>
      </c>
      <c r="G44" s="21"/>
      <c r="H44" s="22"/>
      <c r="I44" s="25"/>
      <c r="M44" s="29"/>
      <c r="N44" s="2"/>
      <c r="O44" s="2"/>
      <c r="P44" s="2"/>
      <c r="Q44" s="7"/>
    </row>
    <row r="45" spans="1:17" ht="26.25" x14ac:dyDescent="0.25">
      <c r="A45" s="11">
        <v>0.75</v>
      </c>
      <c r="B45" s="21" t="s">
        <v>22</v>
      </c>
      <c r="C45" s="21"/>
      <c r="D45" s="21"/>
      <c r="E45" s="21"/>
      <c r="F45" s="21" t="s">
        <v>24</v>
      </c>
      <c r="G45" s="21"/>
      <c r="H45" s="22"/>
      <c r="I45" s="25"/>
      <c r="M45" s="29"/>
      <c r="N45" s="2"/>
      <c r="O45" s="2"/>
      <c r="P45" s="2"/>
      <c r="Q45" s="7"/>
    </row>
    <row r="46" spans="1:17" ht="26.25" x14ac:dyDescent="0.25">
      <c r="A46" s="11">
        <v>0.77083333333333337</v>
      </c>
      <c r="B46" s="21" t="s">
        <v>22</v>
      </c>
      <c r="C46" s="21"/>
      <c r="D46" s="21"/>
      <c r="E46" s="21"/>
      <c r="F46" s="21"/>
      <c r="G46" s="21"/>
      <c r="H46" s="22"/>
      <c r="I46" s="25"/>
      <c r="M46" s="29"/>
      <c r="N46" s="2"/>
      <c r="O46" s="2"/>
      <c r="P46" s="2"/>
      <c r="Q46" s="7"/>
    </row>
    <row r="47" spans="1:17" ht="26.25" x14ac:dyDescent="0.25">
      <c r="A47" s="11">
        <v>0.79166666666666696</v>
      </c>
      <c r="B47" s="21" t="s">
        <v>22</v>
      </c>
      <c r="C47" s="21"/>
      <c r="D47" s="21"/>
      <c r="E47" s="21"/>
      <c r="F47" s="21"/>
      <c r="G47" s="21"/>
      <c r="H47" s="22"/>
      <c r="I47" s="25"/>
      <c r="M47" s="29"/>
      <c r="N47" s="2"/>
      <c r="O47" s="2"/>
      <c r="P47" s="2"/>
      <c r="Q47" s="7"/>
    </row>
    <row r="48" spans="1:17" ht="26.25" x14ac:dyDescent="0.25">
      <c r="A48" s="11">
        <v>0.8125</v>
      </c>
      <c r="B48" s="21" t="s">
        <v>23</v>
      </c>
      <c r="C48" s="21"/>
      <c r="D48" s="21" t="s">
        <v>23</v>
      </c>
      <c r="E48" s="21"/>
      <c r="F48" s="21"/>
      <c r="G48" s="21"/>
      <c r="H48" s="22"/>
      <c r="I48" s="25"/>
      <c r="M48" s="29"/>
      <c r="N48" s="2"/>
      <c r="O48" s="2"/>
      <c r="P48" s="2"/>
      <c r="Q48" s="7"/>
    </row>
    <row r="49" spans="1:17" ht="26.25" x14ac:dyDescent="0.25">
      <c r="A49" s="11">
        <v>0.83333333333333304</v>
      </c>
      <c r="B49" s="21"/>
      <c r="C49" s="21" t="s">
        <v>24</v>
      </c>
      <c r="D49" s="21" t="s">
        <v>24</v>
      </c>
      <c r="E49" s="21"/>
      <c r="F49" s="21"/>
      <c r="G49" s="21"/>
      <c r="H49" s="22"/>
      <c r="I49" s="25"/>
      <c r="M49" s="29"/>
      <c r="N49" s="2"/>
      <c r="O49" s="2"/>
      <c r="P49" s="2"/>
      <c r="Q49" s="7"/>
    </row>
    <row r="50" spans="1:17" ht="26.25" x14ac:dyDescent="0.25">
      <c r="A50" s="11">
        <v>0.84375</v>
      </c>
      <c r="B50" s="21" t="s">
        <v>24</v>
      </c>
      <c r="C50" s="21"/>
      <c r="D50" s="21"/>
      <c r="E50" s="21"/>
      <c r="F50" s="21"/>
      <c r="G50" s="21"/>
      <c r="H50" s="22"/>
      <c r="I50" s="25"/>
      <c r="M50" s="29"/>
      <c r="N50" s="2"/>
      <c r="O50" s="2"/>
      <c r="P50" s="2"/>
      <c r="Q50" s="7"/>
    </row>
    <row r="51" spans="1:17" x14ac:dyDescent="0.25">
      <c r="A51" s="11">
        <v>0.85416666666666663</v>
      </c>
      <c r="B51" s="21" t="s">
        <v>25</v>
      </c>
      <c r="C51" s="21"/>
      <c r="D51" s="21"/>
      <c r="E51" s="21"/>
      <c r="F51" s="21"/>
      <c r="G51" s="21"/>
      <c r="H51" s="22"/>
      <c r="I51" s="25"/>
      <c r="M51" s="29"/>
      <c r="N51" s="2"/>
      <c r="O51" s="2"/>
      <c r="P51" s="2"/>
      <c r="Q51" s="7"/>
    </row>
    <row r="52" spans="1:17" x14ac:dyDescent="0.25">
      <c r="A52" s="11">
        <v>0.875</v>
      </c>
      <c r="B52" s="21"/>
      <c r="C52" s="21"/>
      <c r="D52" s="21"/>
      <c r="E52" s="21"/>
      <c r="F52" s="21"/>
      <c r="G52" s="21"/>
      <c r="H52" s="22"/>
      <c r="I52" s="25"/>
      <c r="M52" s="29"/>
      <c r="N52" s="2"/>
      <c r="O52" s="2"/>
      <c r="P52" s="2"/>
      <c r="Q52" s="7"/>
    </row>
    <row r="53" spans="1:17" x14ac:dyDescent="0.25">
      <c r="A53" s="10"/>
      <c r="B53" s="21"/>
      <c r="C53" s="21"/>
      <c r="D53" s="21"/>
      <c r="E53" s="21"/>
      <c r="F53" s="21"/>
      <c r="G53" s="21"/>
      <c r="H53" s="22"/>
      <c r="I53" s="25"/>
      <c r="M53" s="29"/>
      <c r="N53" s="2"/>
      <c r="O53" s="2"/>
      <c r="P53" s="2"/>
      <c r="Q53" s="7"/>
    </row>
    <row r="54" spans="1:17" x14ac:dyDescent="0.25">
      <c r="A54" s="10"/>
      <c r="B54" s="21"/>
      <c r="C54" s="21"/>
      <c r="D54" s="21"/>
      <c r="E54" s="21"/>
      <c r="F54" s="21"/>
      <c r="G54" s="21"/>
      <c r="H54" s="22"/>
      <c r="I54" s="25"/>
      <c r="M54" s="29"/>
      <c r="N54" s="2"/>
      <c r="O54" s="2"/>
      <c r="P54" s="2"/>
      <c r="Q54" s="7"/>
    </row>
    <row r="55" spans="1:17" x14ac:dyDescent="0.25">
      <c r="A55" s="10"/>
      <c r="B55" s="21"/>
      <c r="C55" s="21"/>
      <c r="D55" s="21"/>
      <c r="E55" s="21"/>
      <c r="F55" s="21"/>
      <c r="G55" s="21"/>
      <c r="H55" s="22"/>
      <c r="I55" s="25"/>
      <c r="M55" s="29"/>
      <c r="N55" s="2"/>
      <c r="O55" s="2"/>
      <c r="P55" s="2"/>
      <c r="Q55" s="7"/>
    </row>
    <row r="56" spans="1:17" x14ac:dyDescent="0.25">
      <c r="A56" s="10"/>
      <c r="B56" s="21"/>
      <c r="C56" s="21"/>
      <c r="D56" s="21"/>
      <c r="E56" s="21"/>
      <c r="F56" s="21"/>
      <c r="G56" s="21"/>
      <c r="H56" s="22"/>
      <c r="I56" s="25"/>
      <c r="M56" s="29"/>
      <c r="N56" s="2"/>
      <c r="O56" s="2"/>
      <c r="P56" s="2"/>
      <c r="Q56" s="7"/>
    </row>
    <row r="57" spans="1:17" x14ac:dyDescent="0.25">
      <c r="A57" s="10"/>
      <c r="B57" s="21"/>
      <c r="C57" s="21"/>
      <c r="D57" s="21"/>
      <c r="E57" s="21"/>
      <c r="F57" s="21"/>
      <c r="G57" s="21"/>
      <c r="H57" s="22"/>
      <c r="I57" s="25"/>
      <c r="M57" s="29"/>
      <c r="N57" s="2"/>
      <c r="O57" s="2"/>
      <c r="P57" s="2"/>
      <c r="Q57" s="7"/>
    </row>
    <row r="58" spans="1:17" x14ac:dyDescent="0.25">
      <c r="A58" s="10"/>
      <c r="B58" s="21"/>
      <c r="C58" s="21"/>
      <c r="D58" s="21"/>
      <c r="E58" s="21"/>
      <c r="F58" s="21"/>
      <c r="G58" s="21"/>
      <c r="H58" s="22"/>
      <c r="I58" s="25"/>
      <c r="M58" s="29"/>
      <c r="N58" s="2"/>
      <c r="O58" s="2"/>
      <c r="P58" s="2"/>
      <c r="Q58" s="7"/>
    </row>
    <row r="59" spans="1:17" ht="15.75" thickBot="1" x14ac:dyDescent="0.3">
      <c r="A59" s="12"/>
      <c r="B59" s="23"/>
      <c r="C59" s="23"/>
      <c r="D59" s="23"/>
      <c r="E59" s="23"/>
      <c r="F59" s="23"/>
      <c r="G59" s="23"/>
      <c r="H59" s="24"/>
      <c r="I59" s="25"/>
      <c r="M59" s="30"/>
      <c r="N59" s="13"/>
      <c r="O59" s="13"/>
      <c r="P59" s="13"/>
      <c r="Q59" s="14"/>
    </row>
    <row r="60" spans="1:17" x14ac:dyDescent="0.25">
      <c r="A60" s="1"/>
    </row>
    <row r="61" spans="1:17" x14ac:dyDescent="0.25">
      <c r="A61" s="1"/>
    </row>
    <row r="62" spans="1:17" x14ac:dyDescent="0.25">
      <c r="A62" s="1"/>
    </row>
  </sheetData>
  <mergeCells count="3">
    <mergeCell ref="A1:G1"/>
    <mergeCell ref="A2:G2"/>
    <mergeCell ref="J6:J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6003-8EF7-41F6-AFC1-05BCEEB376E0}">
  <dimension ref="A1:H34"/>
  <sheetViews>
    <sheetView topLeftCell="A4" workbookViewId="0">
      <selection sqref="A1:H34"/>
    </sheetView>
  </sheetViews>
  <sheetFormatPr baseColWidth="10" defaultRowHeight="15" x14ac:dyDescent="0.25"/>
  <cols>
    <col min="1" max="1" width="16.42578125" customWidth="1"/>
    <col min="2" max="2" width="13.42578125" customWidth="1"/>
    <col min="3" max="3" width="6.28515625" customWidth="1"/>
  </cols>
  <sheetData>
    <row r="1" spans="1:8" x14ac:dyDescent="0.25">
      <c r="A1" s="41" t="s">
        <v>109</v>
      </c>
      <c r="B1" s="41"/>
      <c r="C1" s="41"/>
      <c r="D1" s="41"/>
      <c r="E1" s="41"/>
      <c r="F1" s="41"/>
      <c r="G1" s="41"/>
      <c r="H1" s="41"/>
    </row>
    <row r="2" spans="1:8" ht="45" x14ac:dyDescent="0.25">
      <c r="A2" s="2"/>
      <c r="B2" s="49" t="s">
        <v>97</v>
      </c>
      <c r="C2" s="49" t="s">
        <v>101</v>
      </c>
      <c r="D2" s="16" t="s">
        <v>92</v>
      </c>
      <c r="E2" s="27" t="s">
        <v>93</v>
      </c>
      <c r="F2" s="50" t="s">
        <v>94</v>
      </c>
      <c r="G2" s="50" t="s">
        <v>95</v>
      </c>
      <c r="H2" s="50" t="s">
        <v>96</v>
      </c>
    </row>
    <row r="3" spans="1:8" x14ac:dyDescent="0.25">
      <c r="A3" s="39" t="s">
        <v>16</v>
      </c>
      <c r="B3" s="2" t="s">
        <v>98</v>
      </c>
      <c r="C3" s="37">
        <v>26</v>
      </c>
      <c r="D3" s="2">
        <v>26</v>
      </c>
      <c r="E3" s="2">
        <v>52</v>
      </c>
      <c r="F3" s="2">
        <v>8</v>
      </c>
      <c r="G3" s="2">
        <v>8</v>
      </c>
      <c r="H3" s="2">
        <v>0</v>
      </c>
    </row>
    <row r="4" spans="1:8" x14ac:dyDescent="0.25">
      <c r="A4" s="39"/>
      <c r="B4" s="2" t="s">
        <v>99</v>
      </c>
      <c r="C4" s="37">
        <v>26</v>
      </c>
      <c r="D4" s="2">
        <v>26</v>
      </c>
      <c r="E4" s="2">
        <v>52</v>
      </c>
      <c r="F4" s="2">
        <v>8</v>
      </c>
      <c r="G4" s="2">
        <v>8</v>
      </c>
      <c r="H4" s="2">
        <v>0</v>
      </c>
    </row>
    <row r="5" spans="1:8" x14ac:dyDescent="0.25">
      <c r="A5" s="39"/>
      <c r="B5" s="2" t="s">
        <v>100</v>
      </c>
      <c r="C5" s="37">
        <v>26</v>
      </c>
      <c r="D5" s="2">
        <v>26</v>
      </c>
      <c r="E5" s="2">
        <v>52</v>
      </c>
      <c r="F5" s="2">
        <v>8</v>
      </c>
      <c r="G5" s="2">
        <v>8</v>
      </c>
      <c r="H5" s="2">
        <v>0</v>
      </c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x14ac:dyDescent="0.25">
      <c r="A7" s="32" t="s">
        <v>15</v>
      </c>
      <c r="B7" s="2" t="s">
        <v>98</v>
      </c>
      <c r="C7" s="37">
        <v>37</v>
      </c>
      <c r="D7" s="2">
        <v>111</v>
      </c>
      <c r="E7" s="2">
        <v>111</v>
      </c>
      <c r="F7" s="2">
        <v>8</v>
      </c>
      <c r="G7" s="2">
        <v>8</v>
      </c>
      <c r="H7" s="2">
        <v>36</v>
      </c>
    </row>
    <row r="8" spans="1:8" x14ac:dyDescent="0.25">
      <c r="A8" s="2"/>
      <c r="B8" s="2" t="s">
        <v>99</v>
      </c>
      <c r="C8" s="37">
        <v>37</v>
      </c>
      <c r="D8" s="2">
        <v>111</v>
      </c>
      <c r="E8" s="2">
        <v>111</v>
      </c>
      <c r="F8" s="2">
        <v>8</v>
      </c>
      <c r="G8" s="2">
        <v>8</v>
      </c>
      <c r="H8" s="2">
        <v>36</v>
      </c>
    </row>
    <row r="9" spans="1:8" x14ac:dyDescent="0.25">
      <c r="A9" s="2"/>
      <c r="B9" s="2" t="s">
        <v>102</v>
      </c>
      <c r="C9" s="37">
        <v>10</v>
      </c>
      <c r="D9" s="2">
        <v>30</v>
      </c>
      <c r="E9" s="2">
        <v>40</v>
      </c>
      <c r="F9" s="2">
        <v>5</v>
      </c>
      <c r="G9" s="2">
        <v>5</v>
      </c>
      <c r="H9" s="2">
        <v>10</v>
      </c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32" t="s">
        <v>103</v>
      </c>
      <c r="B12" s="2" t="s">
        <v>98</v>
      </c>
      <c r="C12" s="37">
        <v>37</v>
      </c>
      <c r="D12" s="2">
        <v>70</v>
      </c>
      <c r="E12" s="2">
        <v>70</v>
      </c>
      <c r="F12" s="2">
        <v>8</v>
      </c>
      <c r="G12" s="2">
        <v>8</v>
      </c>
      <c r="H12" s="2">
        <v>18</v>
      </c>
    </row>
    <row r="13" spans="1:8" x14ac:dyDescent="0.25">
      <c r="A13" s="2"/>
      <c r="B13" s="2" t="s">
        <v>99</v>
      </c>
      <c r="C13" s="37">
        <v>37</v>
      </c>
      <c r="D13" s="2">
        <v>70</v>
      </c>
      <c r="E13" s="2">
        <v>70</v>
      </c>
      <c r="F13" s="2">
        <v>8</v>
      </c>
      <c r="G13" s="2">
        <v>8</v>
      </c>
      <c r="H13" s="2">
        <v>18</v>
      </c>
    </row>
    <row r="14" spans="1:8" x14ac:dyDescent="0.25">
      <c r="A14" s="2"/>
      <c r="B14" s="2" t="s">
        <v>102</v>
      </c>
      <c r="C14" s="37">
        <v>10</v>
      </c>
      <c r="D14" s="2">
        <v>20</v>
      </c>
      <c r="E14" s="2">
        <v>30</v>
      </c>
      <c r="F14" s="2">
        <v>5</v>
      </c>
      <c r="G14" s="2">
        <v>5</v>
      </c>
      <c r="H14" s="2">
        <v>10</v>
      </c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32" t="s">
        <v>18</v>
      </c>
      <c r="B17" s="2" t="s">
        <v>98</v>
      </c>
      <c r="C17" s="37">
        <v>37</v>
      </c>
      <c r="D17" s="2">
        <v>111</v>
      </c>
      <c r="E17" s="2">
        <v>111</v>
      </c>
      <c r="F17" s="2">
        <v>8</v>
      </c>
      <c r="G17" s="2">
        <v>8</v>
      </c>
      <c r="H17" s="2">
        <v>36</v>
      </c>
    </row>
    <row r="18" spans="1:8" x14ac:dyDescent="0.25">
      <c r="A18" s="2"/>
      <c r="B18" s="2" t="s">
        <v>99</v>
      </c>
      <c r="C18" s="37">
        <v>37</v>
      </c>
      <c r="D18" s="2">
        <v>111</v>
      </c>
      <c r="E18" s="2">
        <v>111</v>
      </c>
      <c r="F18" s="2">
        <v>8</v>
      </c>
      <c r="G18" s="2">
        <v>8</v>
      </c>
      <c r="H18" s="2">
        <v>36</v>
      </c>
    </row>
    <row r="19" spans="1:8" x14ac:dyDescent="0.25">
      <c r="A19" s="2"/>
      <c r="B19" s="2" t="s">
        <v>102</v>
      </c>
      <c r="C19" s="37">
        <v>10</v>
      </c>
      <c r="D19" s="2">
        <v>30</v>
      </c>
      <c r="E19" s="2">
        <v>40</v>
      </c>
      <c r="F19" s="2">
        <v>5</v>
      </c>
      <c r="G19" s="2">
        <v>5</v>
      </c>
      <c r="H19" s="2">
        <v>10</v>
      </c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 t="s">
        <v>104</v>
      </c>
      <c r="B22" s="2"/>
      <c r="C22" s="2"/>
      <c r="D22" s="2">
        <v>70</v>
      </c>
      <c r="E22" s="2">
        <v>70</v>
      </c>
      <c r="F22" s="2">
        <v>8</v>
      </c>
      <c r="G22" s="2">
        <v>8</v>
      </c>
      <c r="H22" s="2">
        <v>36</v>
      </c>
    </row>
    <row r="23" spans="1:8" x14ac:dyDescent="0.25">
      <c r="A23" s="2"/>
      <c r="B23" s="2"/>
      <c r="C23" s="2"/>
      <c r="D23" s="2">
        <v>70</v>
      </c>
      <c r="E23" s="2">
        <v>70</v>
      </c>
      <c r="F23" s="2">
        <v>8</v>
      </c>
      <c r="G23" s="2">
        <v>8</v>
      </c>
      <c r="H23" s="2">
        <v>36</v>
      </c>
    </row>
    <row r="24" spans="1:8" x14ac:dyDescent="0.25">
      <c r="A24" s="2"/>
      <c r="B24" s="2"/>
      <c r="C24" s="2"/>
      <c r="D24" s="2">
        <v>20</v>
      </c>
      <c r="E24" s="2">
        <v>30</v>
      </c>
      <c r="F24" s="2">
        <v>5</v>
      </c>
      <c r="G24" s="2">
        <v>5</v>
      </c>
      <c r="H24" s="2">
        <v>10</v>
      </c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 t="s">
        <v>105</v>
      </c>
      <c r="B26" s="2"/>
      <c r="C26" s="2"/>
      <c r="D26" s="33">
        <f>SUM(D3:D25)</f>
        <v>902</v>
      </c>
      <c r="E26" s="33">
        <f>SUM(E3:E25)</f>
        <v>1020</v>
      </c>
      <c r="F26" s="33">
        <f>SUM(F3:F25)</f>
        <v>108</v>
      </c>
      <c r="G26" s="33">
        <f>SUM(G3:G25)</f>
        <v>108</v>
      </c>
      <c r="H26" s="33">
        <f>SUM(H3:H25)</f>
        <v>292</v>
      </c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 t="s">
        <v>106</v>
      </c>
      <c r="B28" s="2"/>
      <c r="C28" s="2"/>
      <c r="D28" s="2">
        <v>28</v>
      </c>
      <c r="E28" s="2">
        <v>43</v>
      </c>
      <c r="F28" s="2"/>
      <c r="G28" s="2"/>
      <c r="H28" s="2"/>
    </row>
    <row r="29" spans="1:8" x14ac:dyDescent="0.25">
      <c r="A29" s="2" t="s">
        <v>107</v>
      </c>
      <c r="B29" s="2"/>
      <c r="C29" s="2"/>
      <c r="D29" s="2"/>
      <c r="E29" s="2"/>
      <c r="F29" s="2">
        <v>9</v>
      </c>
      <c r="G29" s="2">
        <v>9</v>
      </c>
      <c r="H29" s="2">
        <v>26</v>
      </c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ht="30" x14ac:dyDescent="0.25">
      <c r="A32" s="40" t="s">
        <v>108</v>
      </c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</sheetData>
  <mergeCells count="2">
    <mergeCell ref="A3:A5"/>
    <mergeCell ref="A1:H1"/>
  </mergeCells>
  <pageMargins left="0.70866141732283472" right="0.70866141732283472" top="0.74803149606299213" bottom="0.74803149606299213" header="0.31496062992125984" footer="0.31496062992125984"/>
  <pageSetup scale="9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DF8F-4D50-42A3-B6A7-5E2309E77BB8}">
  <dimension ref="A1:F58"/>
  <sheetViews>
    <sheetView topLeftCell="A28" workbookViewId="0">
      <selection activeCell="F39" sqref="F39"/>
    </sheetView>
  </sheetViews>
  <sheetFormatPr baseColWidth="10" defaultRowHeight="15" x14ac:dyDescent="0.25"/>
  <cols>
    <col min="1" max="1" width="17.7109375" customWidth="1"/>
    <col min="2" max="2" width="17.85546875" customWidth="1"/>
    <col min="3" max="3" width="19.28515625" customWidth="1"/>
    <col min="4" max="4" width="2.42578125" customWidth="1"/>
    <col min="5" max="5" width="17" customWidth="1"/>
    <col min="6" max="6" width="25" customWidth="1"/>
  </cols>
  <sheetData>
    <row r="1" spans="1:6" x14ac:dyDescent="0.25">
      <c r="A1" s="42" t="s">
        <v>12</v>
      </c>
      <c r="B1" s="42"/>
      <c r="C1" s="42"/>
      <c r="D1" s="42"/>
      <c r="E1" s="42"/>
      <c r="F1" s="42"/>
    </row>
    <row r="2" spans="1:6" x14ac:dyDescent="0.25">
      <c r="A2" s="20" t="s">
        <v>13</v>
      </c>
      <c r="B2" s="20"/>
      <c r="C2" s="20"/>
      <c r="D2" s="20"/>
      <c r="E2" s="20"/>
      <c r="F2" s="20"/>
    </row>
    <row r="3" spans="1:6" x14ac:dyDescent="0.25">
      <c r="A3" s="3"/>
      <c r="B3" s="3" t="s">
        <v>2</v>
      </c>
      <c r="C3" s="2"/>
      <c r="D3" s="2"/>
      <c r="E3" s="3" t="s">
        <v>4</v>
      </c>
      <c r="F3" s="2"/>
    </row>
    <row r="4" spans="1:6" x14ac:dyDescent="0.25">
      <c r="A4" s="3"/>
      <c r="B4" s="3" t="s">
        <v>8</v>
      </c>
      <c r="C4" s="2"/>
      <c r="D4" s="43"/>
      <c r="E4" s="3" t="s">
        <v>10</v>
      </c>
      <c r="F4" s="2"/>
    </row>
    <row r="5" spans="1:6" x14ac:dyDescent="0.25">
      <c r="A5" s="16"/>
      <c r="B5" s="16" t="s">
        <v>15</v>
      </c>
      <c r="C5" s="2" t="s">
        <v>91</v>
      </c>
      <c r="D5" s="43"/>
      <c r="E5" s="16" t="s">
        <v>18</v>
      </c>
      <c r="F5" s="2" t="s">
        <v>91</v>
      </c>
    </row>
    <row r="6" spans="1:6" x14ac:dyDescent="0.25">
      <c r="A6" s="4" t="s">
        <v>0</v>
      </c>
      <c r="B6" s="21"/>
      <c r="C6" s="21"/>
      <c r="D6" s="44"/>
      <c r="E6" s="21"/>
      <c r="F6" s="21"/>
    </row>
    <row r="7" spans="1:6" ht="26.25" x14ac:dyDescent="0.25">
      <c r="A7" s="5">
        <v>0.29166666666666669</v>
      </c>
      <c r="B7" s="21" t="s">
        <v>26</v>
      </c>
      <c r="C7" s="21" t="s">
        <v>28</v>
      </c>
      <c r="D7" s="44"/>
      <c r="E7" s="21"/>
      <c r="F7" s="21"/>
    </row>
    <row r="8" spans="1:6" x14ac:dyDescent="0.25">
      <c r="A8" s="5">
        <v>0.3125</v>
      </c>
      <c r="B8" s="21" t="s">
        <v>29</v>
      </c>
      <c r="C8" s="21"/>
      <c r="D8" s="44"/>
      <c r="E8" s="21"/>
      <c r="F8" s="21"/>
    </row>
    <row r="9" spans="1:6" x14ac:dyDescent="0.25">
      <c r="A9" s="5">
        <v>0.32291666666666669</v>
      </c>
      <c r="B9" s="21" t="s">
        <v>29</v>
      </c>
      <c r="C9" s="21"/>
      <c r="D9" s="44"/>
      <c r="E9" s="21"/>
      <c r="F9" s="21"/>
    </row>
    <row r="10" spans="1:6" ht="26.25" x14ac:dyDescent="0.25">
      <c r="A10" s="5">
        <v>0.33333333333333298</v>
      </c>
      <c r="B10" s="21" t="s">
        <v>29</v>
      </c>
      <c r="C10" s="21" t="s">
        <v>110</v>
      </c>
      <c r="D10" s="44"/>
      <c r="E10" s="21" t="s">
        <v>42</v>
      </c>
      <c r="F10" s="21" t="s">
        <v>28</v>
      </c>
    </row>
    <row r="11" spans="1:6" ht="51.75" x14ac:dyDescent="0.25">
      <c r="A11" s="10">
        <v>0.34375</v>
      </c>
      <c r="B11" s="21" t="s">
        <v>29</v>
      </c>
      <c r="C11" s="22"/>
      <c r="D11" s="45"/>
      <c r="E11" s="21" t="s">
        <v>40</v>
      </c>
      <c r="F11" s="22" t="s">
        <v>129</v>
      </c>
    </row>
    <row r="12" spans="1:6" ht="39" x14ac:dyDescent="0.25">
      <c r="A12" s="10">
        <v>0.35416666666666669</v>
      </c>
      <c r="B12" s="21" t="s">
        <v>30</v>
      </c>
      <c r="C12" s="22" t="s">
        <v>111</v>
      </c>
      <c r="D12" s="45"/>
      <c r="E12" s="21" t="s">
        <v>66</v>
      </c>
      <c r="F12" s="22" t="s">
        <v>126</v>
      </c>
    </row>
    <row r="13" spans="1:6" x14ac:dyDescent="0.25">
      <c r="A13" s="10">
        <v>0.3611111111111111</v>
      </c>
      <c r="B13" s="25"/>
      <c r="C13" s="22" t="s">
        <v>112</v>
      </c>
      <c r="D13" s="45"/>
      <c r="E13" s="21" t="s">
        <v>71</v>
      </c>
      <c r="F13" s="22" t="s">
        <v>127</v>
      </c>
    </row>
    <row r="14" spans="1:6" x14ac:dyDescent="0.25">
      <c r="A14" s="10">
        <v>0.36458333333333331</v>
      </c>
      <c r="B14" s="25"/>
      <c r="C14" s="22" t="s">
        <v>113</v>
      </c>
      <c r="D14" s="45"/>
      <c r="E14" s="21"/>
      <c r="F14" s="22"/>
    </row>
    <row r="15" spans="1:6" ht="26.25" x14ac:dyDescent="0.25">
      <c r="A15" s="10">
        <v>0.375</v>
      </c>
      <c r="C15" s="22" t="s">
        <v>114</v>
      </c>
      <c r="D15" s="45"/>
      <c r="E15" s="21" t="s">
        <v>41</v>
      </c>
      <c r="F15" s="22" t="s">
        <v>128</v>
      </c>
    </row>
    <row r="16" spans="1:6" ht="26.25" x14ac:dyDescent="0.25">
      <c r="A16" s="10">
        <v>0.38194444444444442</v>
      </c>
      <c r="C16" s="22" t="s">
        <v>115</v>
      </c>
      <c r="D16" s="45"/>
      <c r="E16" s="21" t="s">
        <v>67</v>
      </c>
      <c r="F16" s="22" t="s">
        <v>130</v>
      </c>
    </row>
    <row r="17" spans="1:6" ht="77.25" x14ac:dyDescent="0.25">
      <c r="A17" s="10">
        <v>0.39583333333333331</v>
      </c>
      <c r="B17" s="21" t="s">
        <v>21</v>
      </c>
      <c r="C17" s="22" t="s">
        <v>28</v>
      </c>
      <c r="D17" s="45"/>
      <c r="E17" s="21" t="s">
        <v>68</v>
      </c>
      <c r="F17" s="22" t="s">
        <v>131</v>
      </c>
    </row>
    <row r="18" spans="1:6" ht="26.25" x14ac:dyDescent="0.25">
      <c r="A18" s="10">
        <v>0.40277777777777779</v>
      </c>
      <c r="B18" s="21"/>
      <c r="D18" s="46"/>
      <c r="E18" s="21" t="s">
        <v>69</v>
      </c>
      <c r="F18" s="48" t="s">
        <v>132</v>
      </c>
    </row>
    <row r="19" spans="1:6" x14ac:dyDescent="0.25">
      <c r="A19" s="10">
        <v>0.40972222222222221</v>
      </c>
      <c r="B19" s="21"/>
      <c r="C19" s="22"/>
      <c r="D19" s="45"/>
      <c r="E19" s="21"/>
      <c r="F19" s="22"/>
    </row>
    <row r="20" spans="1:6" ht="39" x14ac:dyDescent="0.25">
      <c r="A20" s="10">
        <v>0.41666666666666702</v>
      </c>
      <c r="B20" s="21" t="s">
        <v>31</v>
      </c>
      <c r="C20" s="22" t="s">
        <v>116</v>
      </c>
      <c r="D20" s="45"/>
      <c r="E20" s="21" t="s">
        <v>72</v>
      </c>
      <c r="F20" s="22" t="s">
        <v>133</v>
      </c>
    </row>
    <row r="21" spans="1:6" ht="26.25" x14ac:dyDescent="0.25">
      <c r="A21" s="10">
        <v>0.43055555555555558</v>
      </c>
      <c r="B21" s="21" t="s">
        <v>21</v>
      </c>
      <c r="C21" s="22" t="s">
        <v>70</v>
      </c>
      <c r="D21" s="45"/>
      <c r="E21" s="21" t="s">
        <v>73</v>
      </c>
      <c r="F21" s="22" t="s">
        <v>134</v>
      </c>
    </row>
    <row r="22" spans="1:6" ht="26.25" x14ac:dyDescent="0.25">
      <c r="A22" s="10">
        <v>0.44444444444444442</v>
      </c>
      <c r="B22" s="21" t="s">
        <v>29</v>
      </c>
      <c r="C22" s="22"/>
      <c r="D22" s="45"/>
      <c r="E22" s="21" t="s">
        <v>74</v>
      </c>
      <c r="F22" s="22" t="s">
        <v>135</v>
      </c>
    </row>
    <row r="23" spans="1:6" ht="26.25" x14ac:dyDescent="0.25">
      <c r="A23" s="10">
        <v>0.45833333333333298</v>
      </c>
      <c r="B23" s="21" t="s">
        <v>32</v>
      </c>
      <c r="C23" s="22" t="s">
        <v>117</v>
      </c>
      <c r="D23" s="45"/>
      <c r="E23" s="21" t="s">
        <v>77</v>
      </c>
      <c r="F23" s="22" t="s">
        <v>137</v>
      </c>
    </row>
    <row r="24" spans="1:6" ht="26.25" x14ac:dyDescent="0.25">
      <c r="A24" s="10">
        <v>0.47916666666666669</v>
      </c>
      <c r="B24" s="21" t="s">
        <v>118</v>
      </c>
      <c r="C24" s="22"/>
      <c r="D24" s="45"/>
      <c r="E24" s="21" t="s">
        <v>136</v>
      </c>
      <c r="F24" s="22" t="s">
        <v>137</v>
      </c>
    </row>
    <row r="25" spans="1:6" ht="39" x14ac:dyDescent="0.25">
      <c r="A25" s="10">
        <v>0.48958333333333331</v>
      </c>
      <c r="B25" s="21" t="s">
        <v>118</v>
      </c>
      <c r="C25" s="22"/>
      <c r="D25" s="45"/>
      <c r="E25" s="21" t="s">
        <v>75</v>
      </c>
      <c r="F25" s="22" t="s">
        <v>138</v>
      </c>
    </row>
    <row r="26" spans="1:6" ht="39" x14ac:dyDescent="0.25">
      <c r="A26" s="10">
        <v>0.5</v>
      </c>
      <c r="B26" s="21" t="s">
        <v>21</v>
      </c>
      <c r="C26" s="22"/>
      <c r="D26" s="45"/>
      <c r="E26" s="21" t="s">
        <v>76</v>
      </c>
      <c r="F26" s="22" t="s">
        <v>139</v>
      </c>
    </row>
    <row r="27" spans="1:6" ht="26.25" x14ac:dyDescent="0.25">
      <c r="A27" s="10">
        <v>0.51388888888888884</v>
      </c>
      <c r="B27" s="21"/>
      <c r="C27" s="22"/>
      <c r="D27" s="45"/>
      <c r="E27" s="21" t="s">
        <v>79</v>
      </c>
      <c r="F27" s="22" t="s">
        <v>140</v>
      </c>
    </row>
    <row r="28" spans="1:6" ht="39" x14ac:dyDescent="0.25">
      <c r="A28" s="10">
        <v>0.52083333333333337</v>
      </c>
      <c r="B28" s="21" t="s">
        <v>33</v>
      </c>
      <c r="C28" s="22" t="s">
        <v>34</v>
      </c>
      <c r="D28" s="45"/>
      <c r="E28" s="21" t="s">
        <v>80</v>
      </c>
      <c r="F28" s="22" t="s">
        <v>141</v>
      </c>
    </row>
    <row r="29" spans="1:6" ht="26.25" x14ac:dyDescent="0.25">
      <c r="A29" s="10">
        <v>0.53125</v>
      </c>
      <c r="B29" s="21"/>
      <c r="C29" s="22" t="s">
        <v>119</v>
      </c>
      <c r="D29" s="45"/>
      <c r="E29" s="21"/>
      <c r="F29" s="22"/>
    </row>
    <row r="30" spans="1:6" ht="39" x14ac:dyDescent="0.25">
      <c r="A30" s="11">
        <v>0.54166666666666663</v>
      </c>
      <c r="B30" s="21"/>
      <c r="C30" s="22" t="s">
        <v>120</v>
      </c>
      <c r="D30" s="45"/>
      <c r="E30" s="21" t="s">
        <v>81</v>
      </c>
      <c r="F30" s="22" t="s">
        <v>82</v>
      </c>
    </row>
    <row r="31" spans="1:6" ht="64.5" x14ac:dyDescent="0.25">
      <c r="A31" s="11">
        <v>0.55208333333333337</v>
      </c>
      <c r="B31" t="s">
        <v>121</v>
      </c>
      <c r="C31" s="22" t="s">
        <v>122</v>
      </c>
      <c r="D31" s="45"/>
      <c r="E31" s="21" t="s">
        <v>83</v>
      </c>
      <c r="F31" s="22" t="s">
        <v>142</v>
      </c>
    </row>
    <row r="32" spans="1:6" ht="26.25" x14ac:dyDescent="0.25">
      <c r="A32" s="11">
        <v>0.5625</v>
      </c>
      <c r="B32" s="21" t="s">
        <v>123</v>
      </c>
      <c r="C32" s="22" t="s">
        <v>82</v>
      </c>
      <c r="D32" s="45"/>
      <c r="E32" s="21" t="s">
        <v>84</v>
      </c>
      <c r="F32" s="22" t="s">
        <v>57</v>
      </c>
    </row>
    <row r="33" spans="1:6" ht="26.25" x14ac:dyDescent="0.25">
      <c r="A33" s="11">
        <v>0.57291666666666663</v>
      </c>
      <c r="B33" s="21" t="s">
        <v>37</v>
      </c>
      <c r="C33" s="22" t="s">
        <v>38</v>
      </c>
      <c r="D33" s="45"/>
      <c r="E33" s="21"/>
      <c r="F33" s="22"/>
    </row>
    <row r="34" spans="1:6" ht="26.25" x14ac:dyDescent="0.25">
      <c r="A34" s="11">
        <v>0.58333333333333304</v>
      </c>
      <c r="B34" s="21" t="s">
        <v>37</v>
      </c>
      <c r="C34" s="22"/>
      <c r="D34" s="45"/>
      <c r="E34" s="21"/>
      <c r="F34" s="22"/>
    </row>
    <row r="35" spans="1:6" ht="26.25" x14ac:dyDescent="0.25">
      <c r="A35" s="11">
        <v>0.60416666666666663</v>
      </c>
      <c r="B35" s="21" t="s">
        <v>37</v>
      </c>
      <c r="C35" s="22"/>
      <c r="D35" s="45"/>
      <c r="E35" s="21"/>
      <c r="F35" s="22"/>
    </row>
    <row r="36" spans="1:6" ht="26.25" x14ac:dyDescent="0.25">
      <c r="A36" s="11">
        <v>0.61458333333333337</v>
      </c>
      <c r="B36" s="21" t="s">
        <v>37</v>
      </c>
      <c r="C36" s="22"/>
      <c r="D36" s="45"/>
      <c r="E36" s="21"/>
      <c r="F36" s="22"/>
    </row>
    <row r="37" spans="1:6" ht="26.25" x14ac:dyDescent="0.25">
      <c r="A37" s="11">
        <v>0.625</v>
      </c>
      <c r="B37" s="21" t="s">
        <v>37</v>
      </c>
      <c r="C37" s="22"/>
      <c r="D37" s="45"/>
      <c r="E37" s="21" t="s">
        <v>88</v>
      </c>
      <c r="F37" s="22"/>
    </row>
    <row r="38" spans="1:6" ht="26.25" x14ac:dyDescent="0.25">
      <c r="A38" s="11">
        <v>0.63541666666666663</v>
      </c>
      <c r="B38" s="21" t="s">
        <v>37</v>
      </c>
      <c r="C38" s="22"/>
      <c r="D38" s="45"/>
      <c r="E38" s="21"/>
      <c r="F38" s="22"/>
    </row>
    <row r="39" spans="1:6" ht="26.25" x14ac:dyDescent="0.25">
      <c r="A39" s="11">
        <v>0.64583333333333337</v>
      </c>
      <c r="B39" s="21" t="s">
        <v>37</v>
      </c>
      <c r="C39" s="22"/>
      <c r="D39" s="45"/>
      <c r="E39" s="21" t="s">
        <v>85</v>
      </c>
      <c r="F39" s="22"/>
    </row>
    <row r="40" spans="1:6" x14ac:dyDescent="0.25">
      <c r="A40" s="11">
        <v>0.65625</v>
      </c>
      <c r="B40" s="21" t="s">
        <v>21</v>
      </c>
      <c r="C40" s="22"/>
      <c r="D40" s="45"/>
      <c r="E40" s="21" t="s">
        <v>24</v>
      </c>
      <c r="F40" s="22"/>
    </row>
    <row r="41" spans="1:6" x14ac:dyDescent="0.25">
      <c r="A41" s="11">
        <v>0.66666666666666663</v>
      </c>
      <c r="B41" s="21" t="s">
        <v>39</v>
      </c>
      <c r="C41" s="22" t="s">
        <v>124</v>
      </c>
      <c r="D41" s="45"/>
      <c r="E41" s="21"/>
      <c r="F41" s="22"/>
    </row>
    <row r="42" spans="1:6" ht="26.25" x14ac:dyDescent="0.25">
      <c r="A42" s="11">
        <v>0.70833333333333304</v>
      </c>
      <c r="B42" s="21"/>
      <c r="C42" s="22" t="s">
        <v>125</v>
      </c>
      <c r="D42" s="45"/>
      <c r="E42" s="21"/>
      <c r="F42" s="22"/>
    </row>
    <row r="43" spans="1:6" x14ac:dyDescent="0.25">
      <c r="A43" s="11">
        <v>0.71875</v>
      </c>
      <c r="B43" s="21" t="s">
        <v>23</v>
      </c>
      <c r="C43" s="22"/>
      <c r="D43" s="45"/>
      <c r="E43" s="21"/>
      <c r="F43" s="22"/>
    </row>
    <row r="44" spans="1:6" x14ac:dyDescent="0.25">
      <c r="A44" s="11">
        <v>0.75</v>
      </c>
      <c r="B44" s="21"/>
      <c r="C44" s="22"/>
      <c r="D44" s="45"/>
      <c r="E44" s="21"/>
      <c r="F44" s="22"/>
    </row>
    <row r="45" spans="1:6" x14ac:dyDescent="0.25">
      <c r="A45" s="11">
        <v>0.77083333333333337</v>
      </c>
      <c r="B45" s="21"/>
      <c r="C45" s="22"/>
      <c r="D45" s="45"/>
      <c r="E45" s="21"/>
      <c r="F45" s="22"/>
    </row>
    <row r="46" spans="1:6" x14ac:dyDescent="0.25">
      <c r="A46" s="11">
        <v>0.79166666666666696</v>
      </c>
      <c r="B46" s="21"/>
      <c r="C46" s="22"/>
      <c r="D46" s="45"/>
      <c r="E46" s="21"/>
      <c r="F46" s="22"/>
    </row>
    <row r="47" spans="1:6" x14ac:dyDescent="0.25">
      <c r="A47" s="11">
        <v>0.8125</v>
      </c>
      <c r="B47" s="21" t="s">
        <v>24</v>
      </c>
      <c r="C47" s="22"/>
      <c r="D47" s="45"/>
      <c r="E47" s="21"/>
      <c r="F47" s="22"/>
    </row>
    <row r="48" spans="1:6" x14ac:dyDescent="0.25">
      <c r="A48" s="11">
        <v>0.83333333333333304</v>
      </c>
      <c r="B48" s="21"/>
      <c r="C48" s="22"/>
      <c r="D48" s="45"/>
      <c r="E48" s="21"/>
      <c r="F48" s="22"/>
    </row>
    <row r="49" spans="1:6" x14ac:dyDescent="0.25">
      <c r="A49" s="11">
        <v>0.84375</v>
      </c>
      <c r="B49" s="21"/>
      <c r="C49" s="22"/>
      <c r="D49" s="45"/>
      <c r="E49" s="21"/>
      <c r="F49" s="22"/>
    </row>
    <row r="50" spans="1:6" x14ac:dyDescent="0.25">
      <c r="A50" s="11">
        <v>0.85416666666666663</v>
      </c>
      <c r="B50" s="21"/>
      <c r="C50" s="22"/>
      <c r="D50" s="45"/>
      <c r="E50" s="21"/>
      <c r="F50" s="22"/>
    </row>
    <row r="51" spans="1:6" x14ac:dyDescent="0.25">
      <c r="A51" s="11">
        <v>0.875</v>
      </c>
      <c r="B51" s="21"/>
      <c r="C51" s="22"/>
      <c r="D51" s="45"/>
      <c r="E51" s="21"/>
      <c r="F51" s="22"/>
    </row>
    <row r="52" spans="1:6" x14ac:dyDescent="0.25">
      <c r="A52" s="10"/>
      <c r="B52" s="21"/>
      <c r="C52" s="22"/>
      <c r="D52" s="45"/>
      <c r="E52" s="21"/>
      <c r="F52" s="22"/>
    </row>
    <row r="53" spans="1:6" x14ac:dyDescent="0.25">
      <c r="A53" s="10"/>
      <c r="B53" s="21"/>
      <c r="C53" s="22"/>
      <c r="D53" s="45"/>
      <c r="E53" s="21"/>
      <c r="F53" s="22"/>
    </row>
    <row r="54" spans="1:6" x14ac:dyDescent="0.25">
      <c r="A54" s="10"/>
      <c r="B54" s="21"/>
      <c r="C54" s="22"/>
      <c r="D54" s="45"/>
      <c r="E54" s="21"/>
      <c r="F54" s="22"/>
    </row>
    <row r="55" spans="1:6" x14ac:dyDescent="0.25">
      <c r="A55" s="10"/>
      <c r="B55" s="21"/>
      <c r="C55" s="22"/>
      <c r="D55" s="45"/>
      <c r="E55" s="21"/>
      <c r="F55" s="22"/>
    </row>
    <row r="56" spans="1:6" x14ac:dyDescent="0.25">
      <c r="A56" s="10"/>
      <c r="B56" s="21"/>
      <c r="C56" s="22"/>
      <c r="D56" s="45"/>
      <c r="E56" s="21"/>
      <c r="F56" s="22"/>
    </row>
    <row r="57" spans="1:6" x14ac:dyDescent="0.25">
      <c r="A57" s="10"/>
      <c r="B57" s="21"/>
      <c r="C57" s="22"/>
      <c r="D57" s="45"/>
      <c r="E57" s="21"/>
      <c r="F57" s="22"/>
    </row>
    <row r="58" spans="1:6" ht="15.75" thickBot="1" x14ac:dyDescent="0.3">
      <c r="A58" s="12"/>
      <c r="B58" s="23"/>
      <c r="C58" s="24"/>
      <c r="D58" s="47"/>
      <c r="E58" s="23"/>
      <c r="F58" s="24"/>
    </row>
  </sheetData>
  <mergeCells count="2">
    <mergeCell ref="A1:F1"/>
    <mergeCell ref="A2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ITINERARIOS</vt:lpstr>
      <vt:lpstr>BEBIDAS CANTIDADES</vt:lpstr>
      <vt:lpstr>RECORRIDO PARA GUIAS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2025-10-28T01:46:53Z</cp:lastPrinted>
  <dcterms:created xsi:type="dcterms:W3CDTF">2025-10-27T09:23:12Z</dcterms:created>
  <dcterms:modified xsi:type="dcterms:W3CDTF">2025-10-28T01:48:25Z</dcterms:modified>
</cp:coreProperties>
</file>